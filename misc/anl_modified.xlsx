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owa-my.sharepoint.com/personal/jjohnson316_uiowa_edu/Documents/Research/codes/"/>
    </mc:Choice>
  </mc:AlternateContent>
  <xr:revisionPtr revIDLastSave="0" documentId="8_{BE17B567-E0B1-4395-A28A-9C8BF88A0D20}" xr6:coauthVersionLast="47" xr6:coauthVersionMax="47" xr10:uidLastSave="{00000000-0000-0000-0000-000000000000}"/>
  <bookViews>
    <workbookView xWindow="28680" yWindow="-120" windowWidth="29040" windowHeight="17520" xr2:uid="{52515728-E4FA-4C34-8265-8AA59C5C9E60}"/>
  </bookViews>
  <sheets>
    <sheet name="WRRF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52" i="1" l="1"/>
  <c r="O52" i="1" s="1"/>
  <c r="O51" i="1"/>
  <c r="L51" i="1"/>
  <c r="O49" i="1"/>
  <c r="L49" i="1"/>
  <c r="K49" i="1" s="1"/>
  <c r="L48" i="1"/>
  <c r="O48" i="1" s="1"/>
  <c r="O47" i="1"/>
  <c r="L47" i="1"/>
  <c r="K47" i="1" s="1"/>
  <c r="L43" i="1"/>
  <c r="O43" i="1" s="1"/>
  <c r="L40" i="1"/>
  <c r="O40" i="1" s="1"/>
  <c r="L36" i="1"/>
  <c r="P36" i="1" s="1"/>
  <c r="O33" i="1"/>
  <c r="N33" i="1"/>
  <c r="L33" i="1"/>
  <c r="K33" i="1"/>
  <c r="J33" i="1"/>
  <c r="L31" i="1"/>
  <c r="K31" i="1" s="1"/>
  <c r="L30" i="1"/>
  <c r="O30" i="1" s="1"/>
  <c r="K30" i="1"/>
  <c r="J30" i="1" s="1"/>
  <c r="O29" i="1"/>
  <c r="K29" i="1"/>
  <c r="L27" i="1"/>
  <c r="O27" i="1" s="1"/>
  <c r="O26" i="1"/>
  <c r="K26" i="1"/>
  <c r="J26" i="1"/>
  <c r="L25" i="1"/>
  <c r="O25" i="1" s="1"/>
  <c r="J25" i="1"/>
  <c r="L24" i="1"/>
  <c r="K24" i="1"/>
  <c r="J24" i="1"/>
  <c r="K23" i="1"/>
  <c r="L23" i="1" s="1"/>
  <c r="O23" i="1" s="1"/>
  <c r="K22" i="1"/>
  <c r="L22" i="1" s="1"/>
  <c r="O22" i="1" s="1"/>
  <c r="J22" i="1"/>
  <c r="O21" i="1"/>
  <c r="L20" i="1"/>
  <c r="P20" i="1" s="1"/>
  <c r="K20" i="1"/>
  <c r="K19" i="1"/>
  <c r="L19" i="1" s="1"/>
  <c r="O19" i="1" s="1"/>
  <c r="O18" i="1"/>
  <c r="P17" i="1"/>
  <c r="L17" i="1"/>
  <c r="O17" i="1" s="1"/>
  <c r="K17" i="1"/>
  <c r="J17" i="1"/>
  <c r="O16" i="1"/>
  <c r="K16" i="1"/>
  <c r="J16" i="1"/>
  <c r="O15" i="1"/>
  <c r="K15" i="1"/>
  <c r="J15" i="1"/>
  <c r="O14" i="1"/>
  <c r="K14" i="1"/>
  <c r="L13" i="1"/>
  <c r="L12" i="1"/>
  <c r="K12" i="1" s="1"/>
  <c r="J12" i="1" s="1"/>
  <c r="O10" i="1"/>
  <c r="L10" i="1" s="1"/>
  <c r="K10" i="1" s="1"/>
  <c r="J10" i="1" s="1"/>
  <c r="O9" i="1"/>
  <c r="O8" i="1"/>
  <c r="L8" i="1"/>
  <c r="K8" i="1"/>
  <c r="L7" i="1"/>
  <c r="O7" i="1" s="1"/>
  <c r="L6" i="1"/>
  <c r="K6" i="1"/>
  <c r="L5" i="1"/>
  <c r="K5" i="1"/>
  <c r="O4" i="1"/>
  <c r="K4" i="1"/>
  <c r="O3" i="1"/>
</calcChain>
</file>

<file path=xl/sharedStrings.xml><?xml version="1.0" encoding="utf-8"?>
<sst xmlns="http://schemas.openxmlformats.org/spreadsheetml/2006/main" count="606" uniqueCount="448">
  <si>
    <t>WWT Facility</t>
  </si>
  <si>
    <t>Status End 2023</t>
  </si>
  <si>
    <t>Facility County</t>
  </si>
  <si>
    <t>State</t>
  </si>
  <si>
    <t>Project Start Date</t>
  </si>
  <si>
    <t>Project Developer</t>
  </si>
  <si>
    <t>Project Description</t>
  </si>
  <si>
    <t xml:space="preserve">Maximum Capacity of Waste </t>
  </si>
  <si>
    <t xml:space="preserve">Average Amount of Waste </t>
  </si>
  <si>
    <t>SCFD to project</t>
  </si>
  <si>
    <t>SCFD Upgraded Biogas</t>
  </si>
  <si>
    <t>Upgraded MMBTU/yr</t>
  </si>
  <si>
    <t>RNG Disposition</t>
  </si>
  <si>
    <t xml:space="preserve">If producing vehicle fuel, public filling station? </t>
  </si>
  <si>
    <t xml:space="preserve"> Upgraded GGE/yr</t>
  </si>
  <si>
    <t>Capacity (GGE/yr)</t>
  </si>
  <si>
    <t>Other</t>
  </si>
  <si>
    <t xml:space="preserve">Electricity Produced </t>
  </si>
  <si>
    <t xml:space="preserve">CO2 Emissions Eliminated </t>
  </si>
  <si>
    <t>RIN Registrant?</t>
  </si>
  <si>
    <t>References</t>
  </si>
  <si>
    <t>OPERATIONAL AS OF 12/31/2023</t>
  </si>
  <si>
    <t>91st Avenue, Phoenix</t>
  </si>
  <si>
    <t>OPERATIONAL</t>
  </si>
  <si>
    <t>Maricopa</t>
  </si>
  <si>
    <t>AZ</t>
  </si>
  <si>
    <t>Pipeline injection to begin Q1 2019.</t>
  </si>
  <si>
    <t>Ameresco</t>
  </si>
  <si>
    <t>Project uses Guild pressure swing adsorption (PSA) upgrading system</t>
  </si>
  <si>
    <t>230 MGD</t>
  </si>
  <si>
    <t>PIPELINE (For vehicle/other)</t>
  </si>
  <si>
    <t>45000 tons</t>
  </si>
  <si>
    <t>Yes</t>
  </si>
  <si>
    <t>http://www.reclaimedwater.net/data/files/149.pdf 
http://www.ameresco.com/ameresco-city-phoenix-announce-91-st-ave-wastewater-treatment-plant-biogas-project/
https://www.ngvglobal.com/blog/phoenix-wastewater-to-rng-fuel-facility-biggest-in-u-s-0817
https://www.ameresco.com/ameresco-declares-commercial-operations-of-historic-rng-plant/</t>
  </si>
  <si>
    <t>Tres Rios Wastewater Reclamation Facility</t>
  </si>
  <si>
    <t>Pima</t>
  </si>
  <si>
    <t xml:space="preserve">Construction began April 2020. Significant delays in equipment delivery due to coronavirus. </t>
  </si>
  <si>
    <t xml:space="preserve">Pima County </t>
  </si>
  <si>
    <t xml:space="preserve">The East Digesters (four units at 1.33 Mgal, each) operate in parallel with the West Digesters (two units at 1.8 Mgal, each). Sludge feed and discharge from all six digesters is based on time and distribution among the six digesters. All six digesters are operated as mesophilic, high rate anaerobic digesters. The West Digesters have been designed and constructed to operate at higher temperatures (&gt;50ºC or 122ºF) for possible future conversion to thermophilic anaerobic digestion as part of a Class A biosolids program. A linear motion mixer mixes the sludge within each digester to maintain a consistent solids concentration and temperature profile throughout the tank. Each digester is served by a dedicated mixer, located on the cover. Fuel is destined for California market, though it sounds as if local use is possible in future. </t>
  </si>
  <si>
    <t>50 MGD</t>
  </si>
  <si>
    <t>30 mgd</t>
  </si>
  <si>
    <t>Unknown</t>
  </si>
  <si>
    <t>https://webcms.pima.gov/UserFiles/Servers/Server_6/File/Government/Wastewater%20Reclamation/ROMP/TresRios.pdf
https://tucson.com/business/poo-power-renewable-gas-projects-sprout-at-arizona-sewer-plant-dairies/article_56bb567a-b1c9-11eb-98f6-7b59dad30212.html
http://azbex.com/pima-county-hopes-to-sell-wastewater-gas/
https://tucson.com/news/local/pima-county-hopes-third-time-s-a-charm-turning-wastewater/article_3f46f370-8c79-5d33-a8ed-9b0df9d72bd3.html || 2020 https://cdn.ymaws.com/www.azwater.org/resource/group/358e99b3-e8ca-4cc5-b4c8-78ea8bac5cb6/events/2020_biosolids_workshop/presentations/Session_8-_TRWRF_1300-1315_T.pdf
http://biomassmagazine.com/articles/18094/southwest-gas-to-source-rng-from-5-projects</t>
  </si>
  <si>
    <t>City of San Mateo Wastewater Treatment Plant</t>
  </si>
  <si>
    <t>San Mateo</t>
  </si>
  <si>
    <t>CA</t>
  </si>
  <si>
    <t>System designed by engineering consulting firm Kennedy-Jenks. Cleaning equipment produced by UNISON,  compression and delivery system by ANGI.</t>
  </si>
  <si>
    <r>
      <t xml:space="preserve">BioCNG purification equipment along with a dryer, twin 50-horsepower Quincy compressors and dispensors supplied by ANGI will be installed. The CNG will be used to operate 50 light duty city vehicles.As of June 2017, 50 vehicles is a target; currently fueling two pickups, with 17 medium duty CNG trucks on order. </t>
    </r>
    <r>
      <rPr>
        <b/>
        <sz val="8"/>
        <color theme="1"/>
        <rFont val="Calibri"/>
        <family val="2"/>
      </rPr>
      <t xml:space="preserve">2023 update - using membrane upgrading technology.  </t>
    </r>
  </si>
  <si>
    <t>60 million gallons/day</t>
  </si>
  <si>
    <t>15.7 million gallons/day</t>
  </si>
  <si>
    <t>VEHICLE FUEL (LOCAL)</t>
  </si>
  <si>
    <t xml:space="preserve">Will potentially be providing heat and hot water to new admin building to be constructed at site. No plans for pipeline njection in immediate future. May sell spare capacity to other CNG fleets. GGE/year output figure based on total of 19 trucks by end 2017, consumption of 250-400 GGE per week. Future plans for co-digestion, but this has not yet taken shape.   </t>
  </si>
  <si>
    <t>N/A</t>
  </si>
  <si>
    <t>http://www.cityofsanmateo.org/DocumentCenter/Home/View/85  
http://www.smdailyjournal.com/articles/lnews/2015-12-11/san-mateo-to-convert-its-waste-into-fuel-city-first-to-turn-biogas-into-compressed-natural-gas-at-wastewater-plant/1776425155030.html</t>
  </si>
  <si>
    <t>Ellis Creek Water Recycling Facility</t>
  </si>
  <si>
    <t>Sonoma</t>
  </si>
  <si>
    <t>City of Petaluma</t>
  </si>
  <si>
    <r>
      <t>WWTP built with 550k capacity anaerlbic digester. This project will double that capacity. Will process roughly 30 TPD of food waste from local industry, including poultry, cheese and brewing, along with roughly 18,000 gallons per day of biosolids, doubling current biogas output. As of end 2018, digester expansion complete, food waste handling well under way; final phase of construction will be gas upgrading and fueling station.  Completion end Q2 2019. RNG will be used to fuel about 19 diesel trucks converted to CNG; these trucks include both Petaluma's waste collection contractor and some City vehicles. 
Gas upgrading tehcnology provided by Unison Solutions.</t>
    </r>
    <r>
      <rPr>
        <b/>
        <sz val="8"/>
        <color theme="1"/>
        <rFont val="Calibri"/>
        <family val="2"/>
      </rPr>
      <t xml:space="preserve"> 2023 update - using membrane upgrading technology.  </t>
    </r>
  </si>
  <si>
    <t xml:space="preserve">4,800,000 gallons/day </t>
  </si>
  <si>
    <t>Private</t>
  </si>
  <si>
    <t>http://cityofpetaluma.net/wrcd/wastewater.html http://dpw.lacounty.gov/epd/nas/epd/epd_dms/C_T___%60JAJONES%60Programs%60PUB_Y%60FREQ_N%603_22_2016%60%60REC_N%600000_00%600000_00%60CT_GEN%60California%20Energy%20Commission%20Invests%20$3%20Million%20in%20Biogas%20Project%6097.pdf   http://www.water-technology.net/projects/ellis-creek/
https://cityofpetaluma.org/water-recycling/</t>
  </si>
  <si>
    <t>Las Gallinas Valley Sanitary District</t>
  </si>
  <si>
    <t>Marin</t>
  </si>
  <si>
    <t>Cornerstone</t>
  </si>
  <si>
    <r>
      <t xml:space="preserve">Pre-commercial BERS installed to capture methane from the plant which is then used for on-site combined heat and power. </t>
    </r>
    <r>
      <rPr>
        <sz val="8"/>
        <color rgb="FFFF0000"/>
        <rFont val="Calibri"/>
        <family val="2"/>
      </rPr>
      <t>A BioCNG gas conditioning system</t>
    </r>
    <r>
      <rPr>
        <sz val="8"/>
        <color theme="1"/>
        <rFont val="Calibri"/>
        <family val="2"/>
      </rPr>
      <t xml:space="preserve"> is used as well to provide CNG to a fueling station at the plant providing fuel for one LGVSD CNG truck.</t>
    </r>
  </si>
  <si>
    <t>8 million gal/day</t>
  </si>
  <si>
    <t>2.67 million gal/day</t>
  </si>
  <si>
    <t>Providing fuel for LGVSD CNG trucks</t>
  </si>
  <si>
    <t xml:space="preserve">http://www.lgvsd.org/facilities/wastewater-treatment/    http://www.waterboards.ca.gov/sanfranciscobay/board_info/agendas/2015/May/Las_Gallinas_TO.pdf     http://www.cornerstoneeg.com/project-experience/las-gallinas-biogas-energy-recovery-system/   http://www.lgvsd.org/wp-content/uploads/agenda04242014handout4.pdf
</t>
  </si>
  <si>
    <t>Los Angeles County Sanitation Districts Joint Water Pollution Control Plant</t>
  </si>
  <si>
    <t>Los Angeles</t>
  </si>
  <si>
    <t>Online September 2020</t>
  </si>
  <si>
    <t xml:space="preserve">LA County Sanitation Districts and contractor to be identified by RFP </t>
  </si>
  <si>
    <t xml:space="preserve">Using food wastes co-digestant with wastewater to produce upgraded gas for vehicle fuel. Food waste has historically come from multiple sources, both private and municipal, but due to pandemic has fallen off by 30-40%.  Looking also at private haulers, one idea being to have them bring it to Puente Hills MRF for slurrying, then transferred to WWRF. Has direct connection to public CNG fueling station that they are looking to expand by roughly 2023. </t>
  </si>
  <si>
    <t>400 MGD</t>
  </si>
  <si>
    <t>260 MGD</t>
  </si>
  <si>
    <t>20 MW</t>
  </si>
  <si>
    <t>38,367 metric tons of CO2e per year</t>
  </si>
  <si>
    <t>http://www.lacsd.org/wastewater/wwfacilities/jwpcp/compressed_natural_gas_fueling_facility.asp
https://www.biocycle.net/sanitation-districts-gear-food-waste-codigestion/
https://www.biocycle.net/2017/01/12/los-angeles-county-wrrf-embraces-codigestion/
https://www.waste360.com/anaerobic-digestion/los-angeles-combine-food-waste-biosolids-massive-energy-project https://www.biocycle.net/sanitation-districts-gear-food-waste-codigestion/
https://www.treasurer.ca.gov/caeatfa/meeting/2023/0516/4c2.pdf</t>
  </si>
  <si>
    <t>Point Loma Wastewater Treatment Plant</t>
  </si>
  <si>
    <t>San Diego</t>
  </si>
  <si>
    <t>Fuel Cell Energy, Inc.; BioFuels Energy, LLC</t>
  </si>
  <si>
    <t xml:space="preserve">Untreated biogas powers generators at plant, and some upgraded gas  goes to fuel cell at plant. Upgraded gas also goes into pipeline to feed electricity generating fuel cells at  at UCSD and South Bay Water Treament at South Bay Water Reclamation plant. </t>
  </si>
  <si>
    <t>240 million gal/day</t>
  </si>
  <si>
    <t>175 million gal/day</t>
  </si>
  <si>
    <t xml:space="preserve">1.22.19, conversation with Frank Mazanec at Biofuels EnergyLLC-- has suggested codigestion to the City, they are not interested, think it might adversely affect operation of digesters. </t>
  </si>
  <si>
    <t>5.8 MW Based on SoCal Gas case study, more like 4.2MW</t>
  </si>
  <si>
    <t>https://www.socalgas.com/smart-energy/success-stories/point-loma
http://www.biofuelsenergyllc.com/projects.html</t>
  </si>
  <si>
    <t>Victor Valley Wastewater Reclamation Authority</t>
  </si>
  <si>
    <t>San Bernardino</t>
  </si>
  <si>
    <t>Began construction November 2020, online by October 2021</t>
  </si>
  <si>
    <t>Anaergia, will operate facility</t>
  </si>
  <si>
    <t xml:space="preserve">Retrofit of electricity project. The project will utilize Anaergia’s Omnivore high solids anaerobic digestion retrofit to triple capacity and increase redundancy of the existing digester infrastructure. Sludge and food waste will be digested to generate biogas that will be conditioned and upgraded into pipeline quality natural gas utilizing systems designed and supplied by Anaergia affiliates. Additionally, Anaergia will operate the gas upgrading facility. Will abate 1.5 million tons of CO2e annually, produce equivalent of 2 million DGE annually. </t>
  </si>
  <si>
    <t>10.7 MGD</t>
  </si>
  <si>
    <t xml:space="preserve">Codigesting food waste. Waste strems will be digested separately to preserve the RINs. Food waste will go into original digesters, which have been disused for some time. </t>
  </si>
  <si>
    <t xml:space="preserve">1.5 million tons annually </t>
  </si>
  <si>
    <t>http://biomassmagazine.com/articles/17519/anaergia-begins-construction-of-california-rng-project#
http://biomassmagazine.com/articles/18094/southwest-gas-to-source-rng-from-5-projects
https://www.naturalgasintel.com/southwest-gas-readies-five-rng-projects/
https://www.anaergia.com/anaergia-begins-construction-of-california-renewable-natural-gas-project-located-in-opportunity-zone
https://www.businesswire.com/news/home/20220121005214/en/Anaergia-Commissions-Facility-in-California-that-Creates-Renewable-Natural-Gas-from-Wastewater-and-Food-Waste
https://www.vvwra.com/edu_resources/wep.htm</t>
  </si>
  <si>
    <t>Roseville Energy Recovery Project (Pleasant Grove WWTP)</t>
  </si>
  <si>
    <t>Placer</t>
  </si>
  <si>
    <t>South Placer Wastewater Authority</t>
  </si>
  <si>
    <t xml:space="preserve">Plan to use fuel for waste collection fleet and to drive microturbines. Fuel for refuse fleet of 47 vehicles. Processes up to 12,000 tons of high-strength organic waste per year. Four microturbine cogeneration units produce electricity to help power the gas conversion process and provide heat for the anaerobic digesters.  </t>
  </si>
  <si>
    <t>12MGD</t>
  </si>
  <si>
    <t xml:space="preserve">Private, for municipal vehicles </t>
  </si>
  <si>
    <t>Codigesting FOG initially, may move on to other food wastes</t>
  </si>
  <si>
    <t>7176 tons/year</t>
  </si>
  <si>
    <t>https://www.sacbee.com/community/roseville-placer/article143222324.html
https://www.roseville.ca.us/news/what_s_happening_in_roseville/biosolids-to-energy_project_gets_grant_funding 
https://www.roseville.ca.us/government/departments/environmental_utilities/utility_infrastructure_and_projects/capital_improvements___rehabilitation_projects/pleasant_grove_wastewater_expansion 
https://youtu.be/ilq5XuijCv0</t>
  </si>
  <si>
    <t>Longmont Wastewater Treatment Plant</t>
  </si>
  <si>
    <t>Boulder</t>
  </si>
  <si>
    <t>CO</t>
  </si>
  <si>
    <t xml:space="preserve">City of Longmont; Carollo Engineers; CGRS Inc. </t>
  </si>
  <si>
    <t>In 2018, the City of Longmont will begin construction of a project at its Waste Water Treatment Plant (WWTP) to make fuel from gas produced in the treatment of Longmont's sewage. The project will convert dirty biogas (generated through anaerobic digestion) into clean Renewable Natural Gas (RNG). The RNG produced will then be used to power the City’s trash trucks. Upon completion of the RNG fueling station in 2019, 11 of the City’s 16 diesel trash trucks will be replaced with trucks capable of using RNG fuel (this change-out aligns with the existing replacement schedule for those trucks). The remaining five diesel trucks will be replaced in 2021. </t>
  </si>
  <si>
    <t>13 million GPD</t>
  </si>
  <si>
    <t>7 MGD</t>
  </si>
  <si>
    <t>Yes, municipal vehicles only (?)</t>
  </si>
  <si>
    <t>Colorado Department of Local Affairs awarded the City a $1,000,000 grant to offset a portion of the capital costs required. The Colorado Regional Air Quality Council awarded the City with a grant for $35,000 per truck ($385,000 total) to cover 80% of the difference in cost between an RNG truck and a diesel truck.</t>
  </si>
  <si>
    <t xml:space="preserve">1000 metric tonnes annually </t>
  </si>
  <si>
    <t>https://www.longmontcolorado.gov/Home/Components/News/News/4229/3?backlist=%2F  
http://www.timescall.com/longmont-local-news/ci_31529520/   
https://www.denverpost.com/2017/12/18/longmont-sewage-biofuels/   
https://www.longmontcolorado.gov/departments/departments-n-z/water/wastewater-treatment
http://www.timescall.com/longmont-local-news/ci_32400208/construction-begins-longmont-facility-project-convert-sewage-treatment
https://patch.com/colorado/boulder/longmonts-newest-sustainable-fuel-sewage-gas
http://www.biomassmagazine.com/articles/15902/cgrs-begins-construction-on-colorado-rng-project 
https://www.timescall.com/2020/05/18/longmont-completes-work-on-biogas-conversion-project/
https://www.cgrs.com/start-up-of-longmonts-renewable-natural-gas-project-a-success/</t>
  </si>
  <si>
    <t>Persigo Wastewater Treatment Plant</t>
  </si>
  <si>
    <t>Mesa</t>
  </si>
  <si>
    <t>BioCNG</t>
  </si>
  <si>
    <t xml:space="preserve">Biogas is carried via an 5.7 mile underground pipeline to the City’s Municipal Services Campus where it will be compressed to CNG and used to fuel the City’s fleet of CNG vehicles and County CNG Grand Valley Transit busses.  This station has one public fast-fill pump, and about 20 slow fill for the fleet vehicles. CNG vehicles consist of passenger cars, pickup trucks, dump trucks, trash trucks, public transportation busses and Street sweepers.
The City of Grand Junction has 42 CNG municipal fleet vehicles. Public transportation has 20 CNG vehicles. Totaling around 82 CNG vehicles
</t>
  </si>
  <si>
    <t>12.5 million gal/day</t>
  </si>
  <si>
    <t>8.5 MGD</t>
  </si>
  <si>
    <t>1500 tons</t>
  </si>
  <si>
    <t>http://www.gjcity.org/residents/persigo-wastewater-treatment-plant/   http://energy-vision.org/wp-content/uploads/2013/09/Grand-Junction_Persigo_BioCNG-Profile.pdf</t>
  </si>
  <si>
    <t>City of Boulder WRRF</t>
  </si>
  <si>
    <t xml:space="preserve">CO </t>
  </si>
  <si>
    <t>TetraTech, CGRS</t>
  </si>
  <si>
    <r>
      <t xml:space="preserve">Existing cogeneraton system has reached end of life, city is intalling upgrading capability. </t>
    </r>
    <r>
      <rPr>
        <sz val="8"/>
        <color rgb="FFC00000"/>
        <rFont val="Calibri"/>
        <family val="2"/>
      </rPr>
      <t>BioCNG gas conditioning system</t>
    </r>
    <r>
      <rPr>
        <sz val="8"/>
        <color theme="1"/>
        <rFont val="Calibri"/>
        <family val="2"/>
      </rPr>
      <t xml:space="preserve">. RNG will go to fuel ~31 local waste collection vehicles owned by Western Disposal.  </t>
    </r>
  </si>
  <si>
    <t>25 MGD</t>
  </si>
  <si>
    <t>13MGD</t>
  </si>
  <si>
    <t>https://bouldercolorado.gov/newsroom/city-of-boulder-partners-with-tetra-tech-and-cgrs-for-biogas-use-enhancement-project?MvBriefArticleId=7046</t>
  </si>
  <si>
    <t>South Platte Water Renewal Partners</t>
  </si>
  <si>
    <t>Arapahoe</t>
  </si>
  <si>
    <t>Sept. 2018</t>
  </si>
  <si>
    <r>
      <t xml:space="preserve">Commissioned 2019. Total of five digesters which they alternate. </t>
    </r>
    <r>
      <rPr>
        <sz val="8"/>
        <color rgb="FFC00000"/>
        <rFont val="Calibri"/>
        <family val="2"/>
      </rPr>
      <t>Unison Technologies gas upgrading system</t>
    </r>
    <r>
      <rPr>
        <sz val="8"/>
        <color theme="1"/>
        <rFont val="Calibri"/>
        <family val="2"/>
      </rPr>
      <t xml:space="preserve">. Says XL has stringent injection standards.   </t>
    </r>
  </si>
  <si>
    <t>50MGD</t>
  </si>
  <si>
    <t>20MGD</t>
  </si>
  <si>
    <t>No</t>
  </si>
  <si>
    <t>n/a</t>
  </si>
  <si>
    <t>https://englewoodherald.net/stories/englewood-council-oks-biogas-plan-littleton,268723?</t>
  </si>
  <si>
    <t xml:space="preserve">Honouliuli Wastewater Treatment Plant </t>
  </si>
  <si>
    <t>Honolulu</t>
  </si>
  <si>
    <t>HI</t>
  </si>
  <si>
    <t>Q4 2016</t>
  </si>
  <si>
    <t>Hawaii Gas</t>
  </si>
  <si>
    <r>
      <t xml:space="preserve">Hawaii Gas, the state’s only regulated gas utility, received approval from the Hawai‘i Public Utilities Commission to install equipment to capture and process biogas from the Honouliuli Wastewater Treatment Plant. The Honouliuli Wastewater Treatment Plant produces about 800,000 therms of energy per year, which is currently not being utilized. Hawaii </t>
    </r>
    <r>
      <rPr>
        <sz val="8"/>
        <color rgb="FF05B0F0"/>
        <rFont val="Calibri"/>
        <family val="2"/>
      </rPr>
      <t xml:space="preserve">Gas will invest about $5 million </t>
    </r>
    <r>
      <rPr>
        <sz val="8"/>
        <color theme="1"/>
        <rFont val="Calibri"/>
        <family val="2"/>
      </rPr>
      <t>in the infrastructure to process the raw biogas and to connect the Honouliuli Wastewater Treatment Plant to the company’s existing pipeline.
SCFD figure based on Draft Environemntal Assessment, which references 800k therms (80k MMBTU) of raw gas annually. Based onsame report, upgrading is activated carbon followed by DMT membran separation</t>
    </r>
  </si>
  <si>
    <t>26.1 MGD (2013)</t>
  </si>
  <si>
    <t xml:space="preserve">No codigestion at this point. City looking at adding glycerin from nearby biodiesel plant, still "at conversation stage".  </t>
  </si>
  <si>
    <t>http://biomassmagazine.com/articles/14679/hawaii-gas-earns-puc-approval-to-make-rng-from-honouliuli-biogas   
https://www.honolulu.gov/rep/site/env/wwm_docs/Honouliuli_WWTP_Handout_Combined_5_27_16.pdf
https://www.bizjournals.com/pacific/news/2018/04/23/hawaii-gas-to-start-construction-on-first.html
http://oeqc2.doh.hawaii.gov/EA_EIS_Library/2018-01-23-OA-DEA-Honouliuli-WWTP-Biogas-Project.pdf</t>
  </si>
  <si>
    <t>Des Moines WWTP</t>
  </si>
  <si>
    <t>Polk</t>
  </si>
  <si>
    <t>IA</t>
  </si>
  <si>
    <t xml:space="preserve">Started pipeline injection October 2020. </t>
  </si>
  <si>
    <t>Des Moines Wastewater Reclamation Authority</t>
  </si>
  <si>
    <t xml:space="preserve">Facility accepts municipal sludge and other organic waste from around the region. This created a surplus of biogas which led to the RNG project. Upgrading is through pessure swing adsorption.  </t>
  </si>
  <si>
    <t>60MGD</t>
  </si>
  <si>
    <t xml:space="preserve">Do codigestion of area industrial, residential and commercial food waste, also accepting wastes from biodeisel manufacturers and biosolids from other WWTPs. Have fixed price agreement with Shell Energy to purchase gas, facility itself is not involved in RIN market.   </t>
  </si>
  <si>
    <t>https://www.dsm.city/news_detail_T2_R269.php
https://www.bioenergy-news.com/news/des-moines-wra-producing-rng-following-wwtp-upgrade/
https://cdmsmith.com/en/Client-Solutions/Projects/Des-Moines-Biogas
https://www.dmmwra.org/156/Facility-Overview</t>
  </si>
  <si>
    <t>Dubuque Water and Resource Recovery Center</t>
  </si>
  <si>
    <t>Dubuque</t>
  </si>
  <si>
    <t>City of Dubuque, Black Hills Energy, Unison Solution, BioResources Development</t>
  </si>
  <si>
    <t xml:space="preserve">Bioresource Development installed upgrading skid based on PSA technology. They upgrade the gas, inject it into Black Hills Energy pipeline, and return as much upgraded gas to facility as was taken out. Anything surplus is sold into a RIN market. </t>
  </si>
  <si>
    <t>14MGD</t>
  </si>
  <si>
    <t>7MGD</t>
  </si>
  <si>
    <t xml:space="preserve">Collect some FOG waste through special FOG program. Private carters collect from local restaurants and food processors, bring to WRR facility.  </t>
  </si>
  <si>
    <t>600kW</t>
  </si>
  <si>
    <t>http://bioresourcedevelopment.com/  http://www.greaterdubuque.org/gddc/who-we-are/news/?item=7853  http://www.greaterdubuque.org/media/userfiles/subsite_88/files/2016_09_September_Newsletter_FNL(1).pdf  http://ecoengineers.us/wp-content/uploads/2014/09/Kim-Murdock-Timmerman.pdf  http://www.unisonsolutions.com/projects/digester-projects/</t>
  </si>
  <si>
    <t>Sioux City WWTP</t>
  </si>
  <si>
    <t>Woodbury/Plymouth</t>
  </si>
  <si>
    <t>January 2021</t>
  </si>
  <si>
    <t xml:space="preserve">City of Sioux City; DMT Clear Gas Solution </t>
  </si>
  <si>
    <t xml:space="preserve">Sioux City WRRF has total of 8 digesters. One of these has been set aside for processing other wastes that would generate D5 RINs. Anticipate possible doubling of output by adding waste from elsewhere, are being very cautious about trying to identify D3 waste. 8.23.20 article in Sioux City Journal, facility seeking City Council approval for agreement with The Energy Authority of Jacksonville, FL to find offtakers and monetize gas. Biomass Magazine January 2021, system uses DMT SulfurexCR cehmical system to remove sulfur and DMT CarborxMS membrane system </t>
  </si>
  <si>
    <t>23 MGD</t>
  </si>
  <si>
    <t>17.6 MGD</t>
  </si>
  <si>
    <t>https://siouxcityjournal.com/news/local/govt-and-politics/sioux-city-leaders-natural-gas-project-to-make-wastewater-plant/article_b706d4ab-fa49-5b97-98b2-1d8715d6406e.html
http://www.rngcoalition.com/news/2017/2/13/sioux-city-wwtp-to-upgrade-biogas-to-renewable-natural-gas http://www.biomassmagazine.com/articles/17640/dmt-clear-gas-solutions-iowa-rng-plant-begins-operations
https://www.sioux-city.org/government/departments-q-to-z/waste-water-treatment/renewable-fuels-project
https://www.bartlettwest.com/services/project/sioux-city-biogas-master-plan
https://siouxcityjournal.com/news/local/govt-and-politics/sioux-city-council-to-vote-on-biogas-transaction-confirmation/article_131f5191-1a22-57d8-bf49-84e680c1694a.html</t>
  </si>
  <si>
    <t>Oakland Wastewater Treatment Plant, Topeka</t>
  </si>
  <si>
    <t>Shawnee</t>
  </si>
  <si>
    <t>KS</t>
  </si>
  <si>
    <t>2022-</t>
  </si>
  <si>
    <t>City of Topeka</t>
  </si>
  <si>
    <t xml:space="preserve">Sylvan Coles advises July 2020 project will push 300,000 SCFDE raw gas at 62% methane. </t>
  </si>
  <si>
    <t>45 MGD</t>
  </si>
  <si>
    <t xml:space="preserve">TBD </t>
  </si>
  <si>
    <t xml:space="preserve">
https://www.bartlettwest.com/services/project/oakland-wastewater-treatment-plant 
https://www.wateronline.com/doc/suez-methanis-biogas-membrane-system-generate-renewable-natural-gas-topeka-kansas-0001 https://www.gotopeka.com/local-government/utilities/water-wastewater-and-stormwater/ https://www.cjonline.com/story/news/local/2021/03/17/oakland-wastewater-plant-biogas-project-put-hold-costs-jump-environment-construction-topeka-kansas/4632901001/ https://www.bidnet.com/closed-government-contracts/rng-facility-spare-inventory-parts-and-materials?itemId=838996240 https://www.accesswater.org/publications/proceedings/-10091943/alternate-biogas-to-rng-a-case-study</t>
  </si>
  <si>
    <t>Warrior Biogas Reuse Project</t>
  </si>
  <si>
    <t>Ford</t>
  </si>
  <si>
    <t xml:space="preserve">KS </t>
  </si>
  <si>
    <t>Q2 2018</t>
  </si>
  <si>
    <t>Dodge City, Guild Associates (equipment), Jacob Engineering (operation)</t>
  </si>
  <si>
    <t>Uses municipal wastewater from Dodge City and and industrial wastewater from National Beef plant. Two separate anaerobic lagoons</t>
  </si>
  <si>
    <t>5.77 MGD</t>
  </si>
  <si>
    <t>5.5 MGD</t>
  </si>
  <si>
    <t xml:space="preserve">1,600,000 average </t>
  </si>
  <si>
    <t>2,130,000 capacity</t>
  </si>
  <si>
    <t>https://www.dodgeglobe.com/news/20180412/mission-complete-warrior-project-biogas-facility-is-ready
https://www.hpj.com/ag_news/commitment-to-re-use-municipal-waste-boosts-renewable-energy-sector/article_61a688a0-0ba4-553f-819e-571542b8b667.html
http://www.ucict.com/images/uploads/project-pdfs/Project_Highlight_-_DodgeCityBiogas.pdf
http://www.americanbiogascouncil.org/pdf/Warrior%20Project%20Profile-Final.pdf</t>
  </si>
  <si>
    <t>Grand Rapids WRRF</t>
  </si>
  <si>
    <t>Kent</t>
  </si>
  <si>
    <t>MI</t>
  </si>
  <si>
    <t>City of Grand Rapids</t>
  </si>
  <si>
    <t xml:space="preserve">Project is part of general plant upgrade. No digesters at facility at this time, building 3, phosphorous recovery system and upgrading facility. 2021 update: first digester has gone into commissioning as of July 2021, as soon as the bugs are out of that system they will commission the second. These two digesters will handle waste waster sludge only. The third digester, once commissioned later this year, will handle waste and wastewater from an area brewery as well as landfill leachate. Also potential for taking other industrial wastewater. They are referring to this third digester as "the concentrated waste tank". All three digesters will be metered to allow them to track D3 vs. D5 RINs, though all gas will go throught the same upgrading skid. All gas will go to DTE.  The concentrated waste tank is a first of its kind system in the US, includes a membrane system that will allow them to pull permeate and other solids back into the digester while letting clean water escape. All three digesters should be operating by end of 2021. </t>
  </si>
  <si>
    <t>61.1MGD</t>
  </si>
  <si>
    <t>35MGD</t>
  </si>
  <si>
    <t>Not with biogas or RNG</t>
  </si>
  <si>
    <t>https://www.experiencegr.com/meetings-blog/post/waste-not-how-grand-rapids-approaches-sustainability/
https://www.grandrapidsmi.gov/Government/Departments/Environmental-Services/Wastewater-Treatment
https://www.grandrapidsmi.gov/files/assets/public/departments/environmental-services/files/biosolids/bmp-manual/introduction-and-process-description.pdf</t>
  </si>
  <si>
    <t>Fremont WWTP</t>
  </si>
  <si>
    <t>Dodge</t>
  </si>
  <si>
    <t>NE</t>
  </si>
  <si>
    <t>Construction 2018; construction complete Q3 2021</t>
  </si>
  <si>
    <t>City of Fremont, DMT Clean Gas Solutions</t>
  </si>
  <si>
    <t xml:space="preserve">Upgrading is part of general facility expansion. Have one digester, are installing second digester, and building 3 anaerobic lagoons. Domestic wastewater will go to digesters, industrial wastewater which includes food waste will go to the lagoons, allowing them to separate the D3 and D5 RINs. DMT Clear Gas Solution system will upgrade methane. Some gas will go to boiler at the plant, will sell remainder into pipeline. As of July 2021, are working with Blue Source to sell gas into tranportation market.  As of July 2021, project in commissioning, plant manager expects to go live in August. </t>
  </si>
  <si>
    <t>10.5MGD</t>
  </si>
  <si>
    <t xml:space="preserve">6.5MGD </t>
  </si>
  <si>
    <t xml:space="preserve">https://www.fremontne.gov/23/Utilities  https://www.dmt-cgs.com/products/biogas-upgrading/  </t>
  </si>
  <si>
    <t>Lincoln, Nebraska Theresa Street WWTP</t>
  </si>
  <si>
    <t>Lancaster</t>
  </si>
  <si>
    <t xml:space="preserve">Online February 2021. </t>
  </si>
  <si>
    <t xml:space="preserve">City of Lincoln </t>
  </si>
  <si>
    <r>
      <t xml:space="preserve">Plant has histroically been doing CHP. CHP system has basically reached end of life, and they are going to switch over to RNG production. Have finished studies and planning, should be in construction Q2 2019, hope to be pushing into the pipeline one year later. Initially will export gas to Black Hills pipeline for vehicle market, would eventually like to be using it in Lincoln's municipal bus fleet, which currently has 37 CNG vehicles and may ultimately have 70. No codigestion, can't afford to deal with RIN split issue. Using membrane filtration system. Are stuck with Black Hills for the moment, also in talks with Clean Energy Fuels and Blue Source. 2020 update, bus fleet is planning to move to electricity, but htere may yet be some out let there. For moment looking at LCFS in RINs. Pipeline and revenue. </t>
    </r>
    <r>
      <rPr>
        <sz val="8"/>
        <color theme="4"/>
        <rFont val="Calibri"/>
        <family val="2"/>
      </rPr>
      <t>$54.5 million expansion of plant capacity from 27 to 41 million gallons per day underway in 2023.</t>
    </r>
  </si>
  <si>
    <t>28MGD</t>
  </si>
  <si>
    <t xml:space="preserve">Anticipate production starting at 100,000 MMBTu a year, ramping up 2% a year with population increase </t>
  </si>
  <si>
    <t>https://journalstar.com/news/local/govt-and-politics/city-hopes-to-make-big-bucks-by-converting-sewage-to/article_a172a213-e69b-5f15-9877-9e1edf5ab14f.html  https://journalstar.com/news/local/govt-and-politics/city-biogas-from-wastewater-plant-will-relieve-ratepayers-environment/article_9e569d8f-825e-5f99-9c31-04f506a975e7.html https://journalstar.com/news/local/govt-and-politics/biogas-turned-into-clean-vehicle-fuel-begins-flowing-at-lincoln-wastewater-treatment-plant/article_7d88d755-a130-5854-a50f-7ad2a9c942d4.html
https://www.lincoln.ne.gov/city/ltu/wastewater/treatment.htm
https://journalstar.com/news/local/govt-and-politics/city-35m-wastewater-expansion-in-lincoln-should-follow-same-construction-process-as-pba/article_e082cd3c-d627-11ed-b88a-f70e500086bf.html</t>
  </si>
  <si>
    <t>Newtown Creek Wastewater Treatment Plant</t>
  </si>
  <si>
    <t>Kings County</t>
  </si>
  <si>
    <t>NY</t>
  </si>
  <si>
    <t xml:space="preserve">Q1 2019? </t>
  </si>
  <si>
    <t>National Grid; AECOM (design and build)</t>
  </si>
  <si>
    <t>Will create RNG from wastewater sludge and pre-processed food waste to be injected into National Grid local pipeline infrastructure. Will use a gas dryer, PSA and thermal oxidizer for upgrading. Plant is also implementing organics co-digestion with sewage sludge which may provide 30% or more increase in gas production that will be treated with above mentioned gas cleaning system.  Estimated to produce 169,000 MMBTU per year and reduce 39,000 metric tons of CO2 from organics diversion from landfill.</t>
  </si>
  <si>
    <t>310MGD dry, 700MGD wet</t>
  </si>
  <si>
    <t>221 MGD</t>
  </si>
  <si>
    <t>Anticipated production of enough RNG to heat 5,200 homes</t>
  </si>
  <si>
    <t>90,000 tons/yr.; emissions from removing 19,000 cars per year</t>
  </si>
  <si>
    <t>https://www.epa.gov/sites/production/files/2017-10/documents/chahbazpour_rng_2017_panel1.pdf
https://www.aecom.com/press-releases/aecom-announced-today-that-it-has-been-awarded-a-design-build-contract-from-national-grid-in-partnership-with-the-new-york-city-department-of-environmental-protection-to-provide-engineering-procure/
https://nypost.com/2019/04/29/new-yorkers-poop-will-soon-be-used-to-fuel-their-own-homes/?utm_source=twitter_sitebuttons&amp;utm_medium=site%20buttons&amp;utm_campaign=site%20buttons https://www.politico.com/news/magazine/2019/11/21/food-waste-fuel-energy-sustainability-070265https://blogs.scientificamerican.com/observations/what-china-can-learn-from-new-york-city-about-wastewater-management/</t>
  </si>
  <si>
    <t>Metropolitan Wastewater Management Commission, Eugene / Springfield</t>
  </si>
  <si>
    <t>Lane</t>
  </si>
  <si>
    <t>OR</t>
  </si>
  <si>
    <t>Construction Q3 2020, gas flowing Q4 2021</t>
  </si>
  <si>
    <t>Metropolitan Wastewater Management Commission</t>
  </si>
  <si>
    <t xml:space="preserve">MWMC has jurisdiction for Eugene, Springfield and other parts of the area. Project is using personnel from both cities. WWTP currently has 4 digesters, using all biogas for CHP. Moving away from that model, all to go to RNG. Offtaker is Blue Source, will be injected into Northwest Natural pipeline, destined for CA vehicle market. Upgrading technology provided by Greenlane (PSA). </t>
  </si>
  <si>
    <t>49MGD</t>
  </si>
  <si>
    <t>https://www.oregon.gov/energy/Data-and-Reports/Documents/2018-RNG-Inventory-Report.pdf
http://biomassmagazine.com/articles/16287/greenlane-secures-biogas-upgrading-contract-for-oregon-project
http://laserfiche.springfield-or.gov/weblink/0/edoc/3960673/11-08-19%20Agenda%20Packet.pdf
https://nbc16.com/news/local/new-facilities-for-creating-renewable-natural-gas-celebrate-with-ribbon-cutting</t>
  </si>
  <si>
    <t>Dos Rios Water Recycling Center</t>
  </si>
  <si>
    <t>Bexar</t>
  </si>
  <si>
    <t>TX</t>
  </si>
  <si>
    <t>San Antonio Water System; Ameresco, Inc.; Guild Associates, Inc.</t>
  </si>
  <si>
    <t>An existing interstate pipeline system will transport the RNG to local homes and businesses.</t>
  </si>
  <si>
    <t>125MGD</t>
  </si>
  <si>
    <t>94.7MGD</t>
  </si>
  <si>
    <t>Over 20 years, project anticipated to treat and transfer at least 900,000 cubic feet/day of gas to a nearby commercial gas pipeline</t>
  </si>
  <si>
    <t>9,118 tons</t>
  </si>
  <si>
    <t>http://www.saws.org/Your_Water/Recycling/Biogas/   http://www.saws.org/latest_news/water_news/docs/WaterNews201011.pdf
https://www.ameresco.com/wp-content/uploads/2020/04/san-antonio-water-system-tx.pdf</t>
  </si>
  <si>
    <t>Roanoke Regional Water Pollution Control Plant</t>
  </si>
  <si>
    <t>Roanoke</t>
  </si>
  <si>
    <t>VA</t>
  </si>
  <si>
    <t xml:space="preserve">Western Virginia Water Authority, Roanoke Gas Company </t>
  </si>
  <si>
    <r>
      <rPr>
        <sz val="8"/>
        <color theme="4"/>
        <rFont val="Aptos Narrow"/>
        <family val="2"/>
        <scheme val="minor"/>
      </rPr>
      <t>$16.5 million in combined investment.</t>
    </r>
    <r>
      <rPr>
        <sz val="8"/>
        <color theme="1"/>
        <rFont val="Aptos Narrow"/>
        <family val="2"/>
        <scheme val="minor"/>
      </rPr>
      <t xml:space="preserve"> Separate project to rehab and expand ADs 70% complete as of May 23, 2023. When all digesters are complete the process will produce between 288,000 and 317,000 cubic feet of gas per day. At full buildout, the digesters will produce and the digester gas conditioning system will treat a biogas design flow of 550,000 cubic feet per day (cfd) to create commercial quality RNG. Note: using average of 302,500 scfd for calculations; at full buildout, MMBTU/yr would be 180,675.</t>
    </r>
  </si>
  <si>
    <t>55 MGD</t>
  </si>
  <si>
    <t>37 MGD average flow</t>
  </si>
  <si>
    <t>https://www.wdbj7.com/2022/05/17/ground-broken-project-leading-conversion-biogas-into-renewable-natural-gas/
https://www.westernvawater.org/wastewater-service/wastewater-treatment https://www.westernvawater.org/wastewater/wastewater-treatment/biogas-to-renewable-natural-gas-project#ad-image-0 https://www.westernvawater.org/home/showpublisheddocument/13350/638211476491000000 https://www.roanokegas.com/roanoke-gas-company-receives-approval-of-rng-facility/
https://biomassmagazine.com/articles/18993/roanoke-gas-breaks-ground-on-rng-project-in-virginia https://www.westernvawater.org/wastewater/wastewater-treatment/biogas-to-renewable-natural-gas-project#ad-image-0
https://www.gurufocus.com/news/1780394/roanoke-gas-company-and-the-western-virginia-water-authority-break-ground-on-a-facility-to-convert-biogas-into-renewable-natural-gas-for-the-benefit-of-the-community https://www.westernvawater.org/home/showpublisheddocument/13350/638211476491000000
https://www.roanokegas.com/roanoke-gas-company-and-the-western-virginia-water-authority-announce-ribbon-cutting-on-a-facility-to-convert-biogas-into-renewable-natural-gas-for-the-benefit-of-the-community/
https://roanoke.com/news/local/renewable-natural-gas-to-be-produced-at-roanoke-county-landfill/article_1badac4a-2b2f-11ee-91c3-372e163a7089.html</t>
  </si>
  <si>
    <t>South Wastewater Treatment Plant (King County)</t>
  </si>
  <si>
    <t>King</t>
  </si>
  <si>
    <t>WA</t>
  </si>
  <si>
    <t>1987, upgraded and enlarged 1995</t>
  </si>
  <si>
    <t>King County Department of Natural Resources and Parks, WA</t>
  </si>
  <si>
    <t>Uses scrubbing technology to upgrade biogas injecting the RNG into a natural gas pipeline; has been doing so for over twenty-five years; 50% to NG pipeline (no contracts with electric utilities) and 50% used onsite for electricity and heat production. Upgrading system is a “Binax” high-pressure water-solvent biogas treatment system (similar to the “Greenlane” system)</t>
  </si>
  <si>
    <t>115 million gal/day</t>
  </si>
  <si>
    <t>70 million</t>
  </si>
  <si>
    <t xml:space="preserve">No codigestion, possibly in future. Cost of infrastructure, RIN splitting are issues. </t>
  </si>
  <si>
    <t>4 MW</t>
  </si>
  <si>
    <t>13,556 MTE</t>
  </si>
  <si>
    <t>http://www.kingcounty.gov/depts/dnrp/wtd/system/south.aspx</t>
  </si>
  <si>
    <t>Tacoma Central Wastewater Treatment Plant (Tideflats)</t>
  </si>
  <si>
    <t xml:space="preserve">Pierce </t>
  </si>
  <si>
    <t>Construction Q4 2018</t>
  </si>
  <si>
    <t>City of Tacoma, working with design/build partner McKinstry-Essention LLC</t>
  </si>
  <si>
    <r>
      <t xml:space="preserve">No codigestion. 4 digesters. </t>
    </r>
    <r>
      <rPr>
        <sz val="8"/>
        <color rgb="FFC00000"/>
        <rFont val="Calibri"/>
        <family val="2"/>
      </rPr>
      <t>Unison BioCNG upgrading technology</t>
    </r>
    <r>
      <rPr>
        <sz val="8"/>
        <color theme="1"/>
        <rFont val="Calibri"/>
        <family val="2"/>
      </rPr>
      <t xml:space="preserve">. RNG will be injected into pipeline, after which City will buy back gas for its municipal fleets. </t>
    </r>
  </si>
  <si>
    <t>129 MGD</t>
  </si>
  <si>
    <t>I was able to speak with one of your colleagues last</t>
  </si>
  <si>
    <t>NO</t>
  </si>
  <si>
    <t>788 tons/year</t>
  </si>
  <si>
    <t>https://www.cityoftacoma.org/government/city_departments/environmentalservices/wastewater/wastewater_system/ctp
https://www.thenewstribune.com/news/local/article190093809.html</t>
  </si>
  <si>
    <t>Janesville Wastewater Treatment Plant</t>
  </si>
  <si>
    <t>Rock</t>
  </si>
  <si>
    <t>WI</t>
  </si>
  <si>
    <t>Online February 2013</t>
  </si>
  <si>
    <t xml:space="preserve">Biogas is routed to BioCNG during off-peak hours to be compressed for vehicle use; excess biogas routed to combined heat and power microturbines. Upgrading system: iron sponges before a Unison gas conditioning skid that chills the gas to remove the moisture, reheats and pressurizes the gas to 100 psi, siloxane removal vessels with super silica gel and carbon based material.  A selective membrane removes CO2. CNG produced is used to fuel 40 municpal pickups and cars. No codigestion. </t>
  </si>
  <si>
    <t>25 million gal/day</t>
  </si>
  <si>
    <t>13 million gal/day</t>
  </si>
  <si>
    <t>No codigestion</t>
  </si>
  <si>
    <t xml:space="preserve">1937MWh/yr. </t>
  </si>
  <si>
    <t>https://biocng.us/wp-content/uploads/2015/06/Janesville-Fact-Sheet-2015.pdf
https://energy-vision.org/wp-content/uploads/2019/10/EV-RNG-Community-Guide.pdf</t>
  </si>
  <si>
    <t>UNDER CONSTRUCTION AS OF 12/31/2023</t>
  </si>
  <si>
    <t>Muscatine Water &amp; Resource Recovery Facility (drawing upon MARRVE Food Waste Project)</t>
  </si>
  <si>
    <t>UNDER CONSTRUCTION</t>
  </si>
  <si>
    <t>Muscatine</t>
  </si>
  <si>
    <t xml:space="preserve">RNG component 2023? </t>
  </si>
  <si>
    <t>Stanley Consultants</t>
  </si>
  <si>
    <t xml:space="preserve">Food waste and high strength organics (FOG, etc.) unpackaged and slurried at new facility purpose built at transfer station, Muscatine Organics Recycling Facility (MORC). Then transferred by truck to WRRF where food waste digesters will be stand alone and food waste will not be comingled with waste water.  Facility at WRRF currently has storage for up to 65,000 tons. Initial design and planning of project complete, biogas utilizations workshops running until end of year. New digesters have been ordered, construction should be complete by Q2 2021. Phase III will be our biogas utilization system with a yet unknown function and cost. There remain questions about whether upgrading will be at site, whether city will build it or biogas will be transferred to private facility or even area landfill.  City PPT presentation gives mid-range production of 700 DGE/day </t>
  </si>
  <si>
    <t>UNKNOWN</t>
  </si>
  <si>
    <t>https://www.muscatineiowa.gov/1122/MARRVE
https://www.muscatineiowa.gov/DocumentCenter/View/21377/Resource-Recovery-Hand-out18-PDF
https://www.kwqc.com/content/news/Muscatine-project-turns-waste-into-renewable-energy-567349531.html
https://www.muscatineiowa.gov/DocumentCenter/View/14247
https://www.wqad.com/article/tech/science/environment/muscatine-organics-recycling-center-food/526-849acf46-bbfc-4cd8-bd11-11d00f520709
https://www.biocycle.net/repurposing-infrastructure-facilitates-food-waste-codigestion/
https://www.aaees.org/assets/docs/library/AAEESWebinar-20220921.pdf</t>
  </si>
  <si>
    <t>Piscataway WRRF Bioenergy Project</t>
  </si>
  <si>
    <t>Prince George's</t>
  </si>
  <si>
    <t>MD</t>
  </si>
  <si>
    <t>"Substantially complete by November 2024"</t>
  </si>
  <si>
    <t>WSSC Water</t>
  </si>
  <si>
    <t xml:space="preserve">Construction on the $271 million project began in the spring of 2019 and is expected to be substantially complete by November 2024. Materials will be safely delivered to the Piscataway WRRF via truck from four other WSSC Water water resource recovery facilities located throughout Montgomery and Prince George’s counties. RNG to be sold on open marketplace and will generate Renewable Fuel Credits. </t>
  </si>
  <si>
    <t>8,000 tons of biosolids per month (from WSSC Water’s five major WRRFs)</t>
  </si>
  <si>
    <t>https://www.wsscwater.com/sites/default/files/2023-05/FAQ%20sheets%20updated%2005.01.23.pdf
https://www.wsscwater.com/bioenergy
https://www.wwdmag.com/sludge-and-biosolids/press-release/33003090/maryland-provides-25m-for-wssc-water-bioenergy-facility</t>
  </si>
  <si>
    <t>Bioenergy Recovery Project at Neuse River RRF</t>
  </si>
  <si>
    <t>Wake</t>
  </si>
  <si>
    <t>NC</t>
  </si>
  <si>
    <t>mid-2024</t>
  </si>
  <si>
    <t>Hazen, Crowder, Black &amp; Veatch, Brown &amp; Caldwell</t>
  </si>
  <si>
    <t>Scheduled to begin initial energy processes in the Fall of 2023. Completion of project is on schedule for Spring / Summer 2024. The RNG produced at the 75-mgd wastewater plant will be delivered to a nearby natural gas pipeline can be used as fuel for the City’s Go Raleigh bus fleet or it can be sold to a third party as revenue. The biogas is projected to produce enough fuel to run as many as 70 City buses per day.</t>
  </si>
  <si>
    <t>https://raleighnc.gov/water-and-sewer/bio-energy-recovery-project
https://raleighnc.gov/projects/bioenergy-recovery-project#:~:text=The%20Bioenergy%20Recovery%20Project%20is,City%27s%20main%20wastewater%20treatment%20plant.
https://lnba.net/sites/default/files/NRRRF%20Bioenergy%20Recovery%20Project%20Overview%20and%20Update%20-%20LNBA%20Workshop_082022.pdf</t>
  </si>
  <si>
    <t>Columbia Boulevard Wastewater Treatment Plant</t>
  </si>
  <si>
    <t>Multnomah</t>
  </si>
  <si>
    <t>City of Portland Environmental Services</t>
  </si>
  <si>
    <t>Currently uses 75 percent biogas for cogeneration, boilers, biogas sales to local industry; remainder flared [with some excess biogas to flare].  Feb 2015, the City of Portland approved a contract for final design of a facility to convert biogas to RNG.  Vehicle fueling station completed at end of 2017 and currently operational.  By end of 2020, to begin injection of RNG into NW Natural pipeline, plan to sell into LCFS and CFP markets. The City of Portland Bureau of Environmental Services is constructing an Organic Waste Receiving Facility (OWRF) at its Columbia Boulevard Wastewater Treatment Plant (CBWTP). The CBWTP has excess anaerobic digester capacity and source separated food wastes diverted from landfills will be offloaded into storage tanks where the food wastes will be pumped into existing digesters for co-digestion with biosolids. The receiving facility will also accept fats, oils, and greases (FOG) from restaurant grease traps.
The CBWTP already has two 850 kW biogas-fueled Jenbacher reciprocating engine generating sets that produce about 12 million kWh of electrical energy annually. Both engines will undergo upgrades in 2023 to allow combustion with biogas and natural gas blends. Current thinking is to treat both WWTF and OWRF biogas production to pipeline quality, followed by compression and injection of the renewable natural gas (RNG) into a nearby NW Natural gas distribution pipeline. A contracted third-party off-taker will obtain state and federal renewable attribute credits through sale of the RNG into the transportation sector. The RNG facility is expected to be up and running by late summer of 2022 with the OWRF operational by late fall of 2023. After RNG project completion and prior to OWRF operation, one engine will run on natural gas. After the OWRF comes online, the cogeneration fuel will primarily be biogas with natural gas blended in when required to meet thermal demands.</t>
  </si>
  <si>
    <t>450 million gal/day</t>
  </si>
  <si>
    <t>65.5 million gal/day</t>
  </si>
  <si>
    <t>BOTH</t>
  </si>
  <si>
    <t>Private, for municipal vehicles</t>
  </si>
  <si>
    <t>Provisions to codigest in future (FOG and potentially food waste), starting approx. 2023.</t>
  </si>
  <si>
    <t>1.7 MW/hr.</t>
  </si>
  <si>
    <t>21,000 tons/year</t>
  </si>
  <si>
    <t>https://globenewswire.com/news-release/2017/04/19/962355/0/en/NW-Natural-to-Put-Renewable-Natural-Gas-on-its-Pipeline-through-Partnership-with-City-of-Portland.html https://chptap.ornl.gov/profile/468/Oregon_Metro_Implements_Business_Food_Scraps_Separation_Requirements-Policy_Profile.pdf https://www.portlandoregon.gov/bes/article/636244 https://www.portlandoregon.gov/bes/77813</t>
  </si>
  <si>
    <t>Pasco Resource Recovery Center</t>
  </si>
  <si>
    <t>Franklin</t>
  </si>
  <si>
    <t>late 2024</t>
  </si>
  <si>
    <t>EPC contract with Swinerton Builders, Inc.; 30-year PPP with Burnham RNG LLC</t>
  </si>
  <si>
    <t>The project represents a 30-year public private partnership with the City of Pasco for Burnham to build, own and operate the PRRC on behalf of the City. The RNG will be sold under a long-term contract, allowing the City to reduce net treatment costs and take advantage of tax incentives currently available for RNG projects under the Inflation Reduction Act. The center will process wastewater from seven food processors within the City of Pasco's jurisdiction. It will support the growth of the City's booming agribusiness sector while turning wastewater into clean energy and providing clean water and nutrients to irrigate and fertilize City-owned farmland. The PRRC will enable the reuse of an estimated 1.5 billion gallons of wastewater per year and is estimated to produce enough RNG to supply over 4,500 Washington State residential consumers each year.</t>
  </si>
  <si>
    <t>https://www.prnewswire.com/news-releases/city-of-pasco-and-burnham-rng-partner-to-modernize-wastewater-treatment-301851483.html https://www.prnewswire.com/news-releases/burnham-rng-selects-gross-wen-technologies-to-provide-wastewater-treatment-technology-to-its-new-pasco-washington-resource-recovery-center-301907145.html</t>
  </si>
  <si>
    <t>CONFIRMED CANCELLED/SHUTDOWN AS OF 12/31/2023</t>
  </si>
  <si>
    <t>Metropolitan Water Reclamation District of Greater Chicago, Calumet WRP</t>
  </si>
  <si>
    <t>CANCELLED; FUTURE POTENTIAL?</t>
  </si>
  <si>
    <t>Cook</t>
  </si>
  <si>
    <t>IL</t>
  </si>
  <si>
    <t>TBD</t>
  </si>
  <si>
    <t>Metropolitan Water Reclamation District of Greater Chicago</t>
  </si>
  <si>
    <t xml:space="preserve">Plant currently using biogas for CHP, looking at upgrading. Were recently looking at installation of organics receiving station for co-digesting, put on hold with changes in leadership. Biogas utilization task force evaluating options, expected to issue reports first half 2019. Part of question is what to do with the gas.  According to website, would use PSA upgrading system and connect to nearby pipeline. </t>
  </si>
  <si>
    <t>247 MGD</t>
  </si>
  <si>
    <t>Plan codigestion of food waste to increase biogas production ~160%</t>
  </si>
  <si>
    <t>9000 MT/year</t>
  </si>
  <si>
    <t>https://www.mwrd.org/irj/portal/anonymous/calumet
https://www.mwrd.org/irj/portal/anonymous/waterreclamation</t>
  </si>
  <si>
    <t>Newark Wastewater Treatment Plant</t>
  </si>
  <si>
    <t xml:space="preserve">OPERATIONS SUSPENDED </t>
  </si>
  <si>
    <t>Licking</t>
  </si>
  <si>
    <t>OH</t>
  </si>
  <si>
    <t xml:space="preserve">Guild Associates, Inc. Continue to provide maintenance for system, are not tracking production </t>
  </si>
  <si>
    <t>City of Newark piloted a Biogas Recovery System utilizing PSA (Pressure Swing Adsorption) gas enrichment technology developed by Guild Associates. The gas upgrade system utilizes specialized adsorbents and process cycles to produce pipeline quality natural gas which is sold to a utility. No codigestion.</t>
  </si>
  <si>
    <t>20 million gal/day</t>
  </si>
  <si>
    <t>Approx. 75% of upgraded gas goes to boilers that heat digesters</t>
  </si>
  <si>
    <t>http://www.newarkohio.net/city-services/water-wastewater-main/waste-water-plant  http://www.newarkohio.net/Stimulus/EECBG/OH-CITY-Newark-Project%20Activity%20page%201.pdf  https://www.energy.gov/sites/prod/files/2014/11/f19/eleazer_biomass_2014.pdf</t>
  </si>
  <si>
    <t>Inland Empire Utilities Agency AD Project</t>
  </si>
  <si>
    <t>CANCELLED</t>
  </si>
  <si>
    <t>Chino</t>
  </si>
  <si>
    <t>No plans for RNG</t>
  </si>
  <si>
    <t>Inland Empire Utilities Agency; Environ Strategy Consultants, Inc.</t>
  </si>
  <si>
    <t>Currently produces electricity for on-site use by mixing dairy and food waste with wastewater; approximately 200 TPD of these codigestants being added. ELECTRIC ONLY</t>
  </si>
  <si>
    <t>16.3 MGD</t>
  </si>
  <si>
    <t>9 MGD</t>
  </si>
  <si>
    <t>OTHER</t>
  </si>
  <si>
    <t>1.5MW</t>
  </si>
  <si>
    <t>1,298,494 /yr.</t>
  </si>
  <si>
    <t xml:space="preserve">https://www.ieua.org/facilities/carbon-canyon-water-recycling-facility/wastewater-treatment-process/   http://www.calrecycle.ca.gov/organics/conversion/events/digesting12/casestudies.pdf   https://www.ieua.org/facilities/rp-5/#lightbox/0/ </t>
  </si>
  <si>
    <t>South Sioux City Digester</t>
  </si>
  <si>
    <t>SHUT DOWN; FUTURE POTENTIAL?</t>
  </si>
  <si>
    <t>Dakota</t>
  </si>
  <si>
    <t>Big Ox Energy</t>
  </si>
  <si>
    <t xml:space="preserve">Wastewater treatment facility, doing codigestion with food waste from local manufacturers. Project shut down after numerous compliants, liquid and gas leakage. </t>
  </si>
  <si>
    <t>607681 (capacity)</t>
  </si>
  <si>
    <t>Co-digestion of food waste</t>
  </si>
  <si>
    <t>http://bigoxenergy.com/south-sioux-city-ne-and-big-ox-energy/   http://siouxcityjournal.com/news/local/million-south-sioux-city-project-planned/article_f7812db1-cf15-5670-b8fc-17b0854c9353.html  http://siouxcityjournal.com/business/investment/big-ox-energy-breaks-ground-in-south-sioux-city/article_562ed0c6-1dc8-56d9-bdda-9581a86ef2af.html  http://www.csrwire.com/press_releases/40585-UPS-Dramatically-Increases-Use-of-Renewable-Natural-Gas
https://siouxcityjournal.com/news/local/updated-nebraska-regulator-revokes-big-ox-permits/article_99843bef-e365-5e7b-be78-b1b935fd7676.html
https://nlcenergy.com/</t>
  </si>
  <si>
    <t>Orange Country Sanitation District WWTP Plants 1&amp;2</t>
  </si>
  <si>
    <t>Orange</t>
  </si>
  <si>
    <t>185,000,000 gals/day</t>
  </si>
  <si>
    <t>Average of 129.7MCF/month od untreated biogas between two plants. Hydrogen vehicle fueling station ran adjacent to facility form 2011-2015.</t>
  </si>
  <si>
    <t>90,000,000 kWh/year</t>
  </si>
  <si>
    <t xml:space="preserve">https://www.ocsd.com/Home/ShowDocument?id=18208 https://www.ocsd.com/Home/ShowDocument?id=19428 https://www.ocsd.com/Home/ShowDocument?id=19430
</t>
  </si>
  <si>
    <t>Sacramento Municipal Utility District/Argonne National Laboratory Biomethane Anaerobic Digester Project</t>
  </si>
  <si>
    <t>SHUT DOWN</t>
  </si>
  <si>
    <t>Sacramento</t>
  </si>
  <si>
    <t>Sacramento Municipal Utility District; CleanWorld; Argonne National Laboratory</t>
  </si>
  <si>
    <t>Pilot project demonstrating a process to increase production of biogas through anaerobic digestion while reducing the amount of CO2 produced; produced six months’ worth of LNG or CNG for use as transportation fuel</t>
  </si>
  <si>
    <t>VEHICLE FUEL (Local)</t>
  </si>
  <si>
    <t xml:space="preserve">http://www.energy.ca.gov/2017publications/CEC-500-2017-004/CEC-500-2017-004.pdf; adding food waste and FOG at WWTP, but apparently electric only. </t>
  </si>
  <si>
    <t>United States Air Force Academy (USAFA) Wastewater Treatment Plant</t>
  </si>
  <si>
    <t>El Paso</t>
  </si>
  <si>
    <t>Department of Defense (DoD) Environmental Security Technology Certification Program (ESTCP); CDM Smith, Inc.</t>
  </si>
  <si>
    <t>Demonstration project to determine the viability of using AD to manage food waste, with a goal of producing biogas and converting it to   Never got beyond discussion.</t>
  </si>
  <si>
    <t>https://www.epa.gov/sites/production/files/2014-09/documents/usafa_npdes_permitstatementofbasissep2014.pdf</t>
  </si>
  <si>
    <t>Dunedin Wastewater Treatment Plant</t>
  </si>
  <si>
    <t>Pinellas</t>
  </si>
  <si>
    <t>FL</t>
  </si>
  <si>
    <t>MagneGas</t>
  </si>
  <si>
    <t>Plasma Arc Flow system used to gasify liquid wastes to create a hydrogen-based natural gas alternative that could fuel vehicles</t>
  </si>
  <si>
    <t>6 million gal/day</t>
  </si>
  <si>
    <t>http://www.dunedingov.com/index.aspx?page=116</t>
  </si>
  <si>
    <t>Flint Wastewater Treatment Plant</t>
  </si>
  <si>
    <t>Genesee</t>
  </si>
  <si>
    <t>Kettering University; Swedish Biogas International, LLC</t>
  </si>
  <si>
    <t>Biogas currently used to power a boiler to heat AD; some injection into pipeline; second phase of project will provide electricity for facility and create vehicle fuel for facility trucks and university buses</t>
  </si>
  <si>
    <t>75 million gal/day</t>
  </si>
  <si>
    <t>50 million gal/day</t>
  </si>
  <si>
    <t>1.6  MW/hr.</t>
  </si>
  <si>
    <t>http://www.abc12.com/home/headlines/Biogas-is-producing-electricity-at-Flint-waste-water-plant-338569892.html</t>
  </si>
  <si>
    <t>Dayton Wastewater Treatment Plant (2020 Strategy for a Sustainable Dayton" doc says city should produce RNG at WRRF https://www.daytonohio.gov/DocumentCenter/View/9796/August-2020-Dayton-Sustainability-Strategy-Plan</t>
  </si>
  <si>
    <t>Montgomery</t>
  </si>
  <si>
    <t>Guild Associates, Inc.</t>
  </si>
  <si>
    <t>Methane gas, produced as a by-product of anaerobic digestion, is used as a fuel for cogeneration engines and pipeline injection. Guild pressure swing adsorption upgrading system.</t>
  </si>
  <si>
    <t>72 million gal/day</t>
  </si>
  <si>
    <t>55 to 60 million gal/day</t>
  </si>
  <si>
    <t>Co-Generation with methane (sludge gas) gas used for Peak Shaving Days in the Summer Time. Volume of methane gas is not sufficient to run Co-Gen on a regular basis. Upgraded gas production capacity is 1,000,000 SCFD.</t>
  </si>
  <si>
    <t>http://www.ohiowea.org/docs/BarhorstGupta-DaytonGasScrubber.pdf</t>
  </si>
  <si>
    <t>Three Creek BioEnergy</t>
  </si>
  <si>
    <t>Lorain</t>
  </si>
  <si>
    <t>quasar energy group</t>
  </si>
  <si>
    <t>Digests sludge from wastewater treatment plant as well as local business waste to generate electricity and produce vehicle fuel</t>
  </si>
  <si>
    <t>42,000 tons/year</t>
  </si>
  <si>
    <t xml:space="preserve">Generates enough electricity to power 618 homes per day. Quasar digester is co-located at WWTP site, but is in now way connected-- do not discharge anything via WWTP, do not use any water from the plant in their process. It is, in effect, NOT a WWTP project. </t>
  </si>
  <si>
    <t>1 MW/hr.</t>
  </si>
  <si>
    <t>https://www.bioohio.com/item/quasar-energy-group-llc-three-creek-bioenergy/ http://quasareg.com/New/wp-content/uploads/2016/10/Three-Creek-2016.pdf</t>
  </si>
  <si>
    <t>Brightwater Wastewater Treatment Plant</t>
  </si>
  <si>
    <t>Snohomish</t>
  </si>
  <si>
    <t>2024?</t>
  </si>
  <si>
    <t>As of 2023, biogas (45,000 MMBTU) is going to boiler for plant; no mention of RNG.</t>
  </si>
  <si>
    <t>41 MGD</t>
  </si>
  <si>
    <t>30MGD</t>
  </si>
  <si>
    <t>https://kingcounty.gov/depts/dnrp/wtd/system/brightwater.aspx
https://kingcounty.gov/~/media/depts/dnrp/wtd/system/BW/docs/1109_BW_TechnicalFacts.ashx?la=en. https://kingcounty.gov/en/dept/dnrp/waste-services/wastewater-treatment/resource-recovery/energy/renewable-energy</t>
  </si>
  <si>
    <t>Wooster, Ohio, Wastewater Treatment Plant</t>
  </si>
  <si>
    <t>Wayne</t>
  </si>
  <si>
    <t>2022?</t>
  </si>
  <si>
    <t>quasar energy group; City of Wooster</t>
  </si>
  <si>
    <t xml:space="preserve">Biogas from the digesters is fed to a 1.1 MW CHP unit on site that converts it to electricity. City of Wooster looking at installing a biogas upgrade system in the 2020s to be able to sell renewable CNG vehicle fuel. Facility runs on combination of biogas from original digesters and from quasar system, which also processes FOG and food waste from area. Biogas is fed to a 1.1 MW CHP unit on site that converts it to electricity. Quasar sold plant to city of Wooster 2015, biogas upgrading is on hold for now. May look at it again in about 5 years, but City is already starting to buy CNG vehicles. </t>
  </si>
  <si>
    <t>27 MGD</t>
  </si>
  <si>
    <t xml:space="preserve">4.5 million gallons/day </t>
  </si>
  <si>
    <t>600-700kW</t>
  </si>
  <si>
    <t>https://www.epa.gov/sites/production/files/2015-09/documents/presenation_kurtz.pdf  https://www.biocycle.net/2014/12/17/wastewater-treatment-plant-in-compliance-and-off-the-grid/  http://www.greenenergyohio.org/ost/siteDetail.cfm?site_id=1018  https://www.woosteroh.com/sites/default/files/2013%20utilities%20division%20annual%20report.pdf
https://www.woosteroh.com/water/water-utilities-strategic-plan</t>
  </si>
  <si>
    <t xml:space="preserve">Fresno Clovis Wastewater Treatment Facility </t>
  </si>
  <si>
    <t>Fresno</t>
  </si>
  <si>
    <t>City of Fresno</t>
  </si>
  <si>
    <t xml:space="preserve">Was producing conditioned gas for CHP, plan to convert to exporting RNG to pipeline. Major part of current project will be interconnection to the pipeline. No changes to current population of 13 digesters, usually 10 running, 2 being maintained, 1 back up. RNG would be trucked out by project development partner and then injected into the pipeline. May ultimately go for vehicle fuel, but current plan is for pipeline. </t>
  </si>
  <si>
    <t>87.1 MGD</t>
  </si>
  <si>
    <t>58 MGD</t>
  </si>
  <si>
    <t>None</t>
  </si>
  <si>
    <t>3.3 MW</t>
  </si>
  <si>
    <t xml:space="preserve">https://www.epa.gov/sites/production/files/2016-05/documents/wrrf_fresno_v2_may_12.pdf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</si>
</sst>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
    <numFmt numFmtId="165" formatCode="0.0000"/>
    <numFmt numFmtId="166" formatCode="_(* #,##0_);_(* \(#,##0\);_(* &quot;-&quot;??_);_(@_)"/>
    <numFmt numFmtId="167" formatCode="mmmm\ yyyy"/>
  </numFmts>
  <fonts count="22" x14ac:knownFonts="1">
    <font>
      <sz val="11"/>
      <color theme="1"/>
      <name val="Aptos Narrow"/>
      <family val="2"/>
      <scheme val="minor"/>
    </font>
    <font>
      <sz val="11"/>
      <color theme="1"/>
      <name val="Aptos Narrow"/>
      <family val="2"/>
      <scheme val="minor"/>
    </font>
    <font>
      <sz val="11"/>
      <color rgb="FF9C0006"/>
      <name val="Aptos Narrow"/>
      <family val="2"/>
      <scheme val="minor"/>
    </font>
    <font>
      <u/>
      <sz val="11"/>
      <color theme="10"/>
      <name val="Aptos Narrow"/>
      <family val="2"/>
      <scheme val="minor"/>
    </font>
    <font>
      <b/>
      <sz val="9"/>
      <color theme="1"/>
      <name val="Calibri"/>
      <family val="2"/>
    </font>
    <font>
      <b/>
      <sz val="12"/>
      <color theme="1"/>
      <name val="Calibri"/>
      <family val="2"/>
    </font>
    <font>
      <b/>
      <sz val="8"/>
      <color theme="1"/>
      <name val="Calibri"/>
      <family val="2"/>
    </font>
    <font>
      <sz val="8"/>
      <color theme="1"/>
      <name val="Calibri"/>
      <family val="2"/>
    </font>
    <font>
      <sz val="11"/>
      <color theme="1"/>
      <name val="Arial"/>
      <family val="2"/>
    </font>
    <font>
      <sz val="8"/>
      <name val="Calibri"/>
      <family val="2"/>
    </font>
    <font>
      <sz val="8"/>
      <color rgb="FFFF0000"/>
      <name val="Calibri"/>
      <family val="2"/>
    </font>
    <font>
      <sz val="8"/>
      <color theme="1"/>
      <name val="Arial"/>
      <family val="2"/>
    </font>
    <font>
      <sz val="8"/>
      <name val="Arial"/>
      <family val="2"/>
    </font>
    <font>
      <u/>
      <sz val="8"/>
      <color theme="1"/>
      <name val="Calibri"/>
      <family val="2"/>
    </font>
    <font>
      <sz val="8"/>
      <color rgb="FFC00000"/>
      <name val="Calibri"/>
      <family val="2"/>
    </font>
    <font>
      <sz val="8"/>
      <color rgb="FF05B0F0"/>
      <name val="Calibri"/>
      <family val="2"/>
    </font>
    <font>
      <sz val="8"/>
      <color theme="4"/>
      <name val="Calibri"/>
      <family val="2"/>
    </font>
    <font>
      <sz val="8"/>
      <color rgb="FF000000"/>
      <name val="Calibri"/>
      <family val="2"/>
    </font>
    <font>
      <sz val="8"/>
      <color theme="1"/>
      <name val="Aptos Narrow"/>
      <family val="2"/>
      <scheme val="minor"/>
    </font>
    <font>
      <sz val="11"/>
      <color theme="1"/>
      <name val="Calibri"/>
      <family val="2"/>
    </font>
    <font>
      <sz val="8"/>
      <color theme="4"/>
      <name val="Aptos Narrow"/>
      <family val="2"/>
      <scheme val="minor"/>
    </font>
    <font>
      <u/>
      <sz val="8"/>
      <color theme="10"/>
      <name val="Calibri"/>
      <family val="2"/>
    </font>
  </fonts>
  <fills count="29">
    <fill>
      <patternFill patternType="none"/>
    </fill>
    <fill>
      <patternFill patternType="gray125"/>
    </fill>
    <fill>
      <patternFill patternType="solid">
        <fgColor rgb="FFFFC7CE"/>
      </patternFill>
    </fill>
    <fill>
      <patternFill patternType="solid">
        <fgColor theme="4" tint="0.59999389629810485"/>
        <bgColor indexed="65"/>
      </patternFill>
    </fill>
    <fill>
      <patternFill patternType="solid">
        <fgColor theme="0"/>
        <bgColor theme="0"/>
      </patternFill>
    </fill>
    <fill>
      <patternFill patternType="solid">
        <fgColor rgb="FFFFFFFF"/>
        <bgColor rgb="FFFFFFFF"/>
      </patternFill>
    </fill>
    <fill>
      <patternFill patternType="solid">
        <fgColor rgb="FFDEEAF6"/>
        <bgColor rgb="FFDEEAF6"/>
      </patternFill>
    </fill>
    <fill>
      <patternFill patternType="solid">
        <fgColor rgb="FF92D050"/>
        <bgColor rgb="FF92D050"/>
      </patternFill>
    </fill>
    <fill>
      <patternFill patternType="solid">
        <fgColor rgb="FF00B0F0"/>
        <bgColor rgb="FF00B0F0"/>
      </patternFill>
    </fill>
    <fill>
      <patternFill patternType="solid">
        <fgColor rgb="FFD8D8D8"/>
        <bgColor rgb="FFD8D8D8"/>
      </patternFill>
    </fill>
    <fill>
      <patternFill patternType="solid">
        <fgColor rgb="FFFFC000"/>
        <bgColor rgb="FFFFC000"/>
      </patternFill>
    </fill>
    <fill>
      <patternFill patternType="solid">
        <fgColor rgb="FFFFFF99"/>
        <bgColor rgb="FFFFFF99"/>
      </patternFill>
    </fill>
    <fill>
      <patternFill patternType="solid">
        <fgColor rgb="FFFFC000"/>
        <bgColor theme="0"/>
      </patternFill>
    </fill>
    <fill>
      <patternFill patternType="solid">
        <fgColor rgb="FF92D050"/>
        <bgColor rgb="FFFFC000"/>
      </patternFill>
    </fill>
    <fill>
      <patternFill patternType="solid">
        <fgColor rgb="FFFFC000"/>
        <bgColor indexed="64"/>
      </patternFill>
    </fill>
    <fill>
      <patternFill patternType="solid">
        <fgColor rgb="FF92D050"/>
        <bgColor rgb="FFFFFF00"/>
      </patternFill>
    </fill>
    <fill>
      <patternFill patternType="solid">
        <fgColor rgb="FF00B0F0"/>
        <bgColor rgb="FFFFC000"/>
      </patternFill>
    </fill>
    <fill>
      <patternFill patternType="solid">
        <fgColor theme="7"/>
        <bgColor rgb="FF92D050"/>
      </patternFill>
    </fill>
    <fill>
      <patternFill patternType="solid">
        <fgColor rgb="FF05B0F0"/>
        <bgColor rgb="FFFFFFFF"/>
      </patternFill>
    </fill>
    <fill>
      <patternFill patternType="solid">
        <fgColor theme="7"/>
        <bgColor indexed="64"/>
      </patternFill>
    </fill>
    <fill>
      <patternFill patternType="solid">
        <fgColor rgb="FF92D050"/>
        <bgColor rgb="FF00B0F0"/>
      </patternFill>
    </fill>
    <fill>
      <patternFill patternType="solid">
        <fgColor rgb="FF92D050"/>
        <bgColor theme="0"/>
      </patternFill>
    </fill>
    <fill>
      <patternFill patternType="solid">
        <fgColor rgb="FF92D050"/>
        <bgColor indexed="64"/>
      </patternFill>
    </fill>
    <fill>
      <patternFill patternType="solid">
        <fgColor rgb="FF92D050"/>
        <bgColor rgb="FFFFFFFF"/>
      </patternFill>
    </fill>
    <fill>
      <patternFill patternType="solid">
        <fgColor rgb="FF05B0F0"/>
        <bgColor indexed="64"/>
      </patternFill>
    </fill>
    <fill>
      <patternFill patternType="solid">
        <fgColor rgb="FF00B0F0"/>
        <bgColor rgb="FF92D050"/>
      </patternFill>
    </fill>
    <fill>
      <patternFill patternType="solid">
        <fgColor rgb="FF05B0F0"/>
        <bgColor theme="0"/>
      </patternFill>
    </fill>
    <fill>
      <patternFill patternType="solid">
        <fgColor theme="7"/>
        <bgColor theme="0"/>
      </patternFill>
    </fill>
    <fill>
      <patternFill patternType="solid">
        <fgColor rgb="FFFFFF00"/>
        <bgColor theme="0"/>
      </patternFill>
    </fill>
  </fills>
  <borders count="11">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5">
    <xf numFmtId="0" fontId="0" fillId="0" borderId="0"/>
    <xf numFmtId="43"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3" fillId="0" borderId="0" applyNumberFormat="0" applyFill="0" applyBorder="0" applyAlignment="0" applyProtection="0"/>
  </cellStyleXfs>
  <cellXfs count="283">
    <xf numFmtId="0" fontId="0" fillId="0" borderId="0" xfId="0"/>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3" fontId="4" fillId="4" borderId="2" xfId="0" applyNumberFormat="1" applyFont="1" applyFill="1" applyBorder="1" applyAlignment="1">
      <alignment horizontal="center" wrapText="1"/>
    </xf>
    <xf numFmtId="164" fontId="4" fillId="4" borderId="2" xfId="0" applyNumberFormat="1" applyFont="1" applyFill="1" applyBorder="1" applyAlignment="1">
      <alignment horizontal="center" wrapText="1"/>
    </xf>
    <xf numFmtId="1" fontId="4" fillId="4" borderId="2" xfId="0" applyNumberFormat="1" applyFont="1" applyFill="1" applyBorder="1" applyAlignment="1">
      <alignment horizontal="center" wrapText="1"/>
    </xf>
    <xf numFmtId="165" fontId="4" fillId="4" borderId="2" xfId="0" applyNumberFormat="1" applyFont="1" applyFill="1" applyBorder="1" applyAlignment="1">
      <alignment horizontal="center" wrapText="1"/>
    </xf>
    <xf numFmtId="2" fontId="4" fillId="4" borderId="2" xfId="0" applyNumberFormat="1" applyFont="1" applyFill="1" applyBorder="1" applyAlignment="1">
      <alignment horizontal="center" wrapText="1"/>
    </xf>
    <xf numFmtId="0" fontId="4" fillId="5" borderId="3" xfId="0" applyFont="1" applyFill="1" applyBorder="1" applyAlignment="1">
      <alignment horizontal="center" wrapText="1"/>
    </xf>
    <xf numFmtId="0" fontId="5" fillId="6" borderId="4" xfId="0" applyFont="1" applyFill="1" applyBorder="1" applyAlignment="1">
      <alignment horizontal="center" wrapText="1"/>
    </xf>
    <xf numFmtId="0" fontId="5" fillId="6" borderId="5" xfId="0" applyFont="1" applyFill="1" applyBorder="1" applyAlignment="1">
      <alignment horizontal="center" wrapText="1"/>
    </xf>
    <xf numFmtId="0" fontId="6" fillId="4" borderId="6" xfId="0" applyFont="1" applyFill="1" applyBorder="1" applyAlignment="1">
      <alignment horizontal="left" wrapText="1"/>
    </xf>
    <xf numFmtId="0" fontId="6" fillId="4" borderId="6" xfId="0" applyFont="1" applyFill="1" applyBorder="1"/>
    <xf numFmtId="0" fontId="7" fillId="4" borderId="6" xfId="0" applyFont="1" applyFill="1" applyBorder="1" applyAlignment="1">
      <alignment wrapText="1"/>
    </xf>
    <xf numFmtId="0" fontId="7" fillId="4" borderId="6" xfId="0" applyFont="1" applyFill="1" applyBorder="1" applyAlignment="1">
      <alignment horizontal="center"/>
    </xf>
    <xf numFmtId="0" fontId="7" fillId="7" borderId="6" xfId="0" applyFont="1" applyFill="1" applyBorder="1" applyAlignment="1">
      <alignment wrapText="1"/>
    </xf>
    <xf numFmtId="0" fontId="7" fillId="7" borderId="6" xfId="0" applyFont="1" applyFill="1" applyBorder="1" applyAlignment="1">
      <alignment horizontal="left" wrapText="1"/>
    </xf>
    <xf numFmtId="4" fontId="7" fillId="7" borderId="6" xfId="0" applyNumberFormat="1" applyFont="1" applyFill="1" applyBorder="1"/>
    <xf numFmtId="0" fontId="7" fillId="4" borderId="6" xfId="0" applyFont="1" applyFill="1" applyBorder="1"/>
    <xf numFmtId="166" fontId="7" fillId="7" borderId="6" xfId="1" applyNumberFormat="1" applyFont="1" applyFill="1" applyBorder="1"/>
    <xf numFmtId="4" fontId="6" fillId="7" borderId="6" xfId="0" applyNumberFormat="1" applyFont="1" applyFill="1" applyBorder="1" applyAlignment="1">
      <alignment wrapText="1"/>
    </xf>
    <xf numFmtId="166" fontId="7" fillId="8" borderId="6" xfId="1" applyNumberFormat="1" applyFont="1" applyFill="1" applyBorder="1"/>
    <xf numFmtId="166" fontId="7" fillId="4" borderId="6" xfId="1" applyNumberFormat="1" applyFont="1" applyFill="1" applyBorder="1"/>
    <xf numFmtId="0" fontId="7" fillId="9" borderId="6" xfId="0" applyFont="1" applyFill="1" applyBorder="1" applyAlignment="1">
      <alignment wrapText="1"/>
    </xf>
    <xf numFmtId="0" fontId="2" fillId="2" borderId="6" xfId="2" applyBorder="1" applyAlignment="1">
      <alignment horizontal="left" wrapText="1"/>
    </xf>
    <xf numFmtId="0" fontId="6" fillId="0" borderId="6" xfId="0" applyFont="1" applyBorder="1" applyAlignment="1">
      <alignment wrapText="1"/>
    </xf>
    <xf numFmtId="0" fontId="7" fillId="0" borderId="6" xfId="0" applyFont="1" applyBorder="1" applyAlignment="1">
      <alignment wrapText="1"/>
    </xf>
    <xf numFmtId="3" fontId="7" fillId="0" borderId="6" xfId="0" applyNumberFormat="1" applyFont="1" applyBorder="1" applyAlignment="1">
      <alignment horizontal="center" wrapText="1"/>
    </xf>
    <xf numFmtId="15" fontId="7" fillId="0" borderId="6" xfId="0" applyNumberFormat="1" applyFont="1" applyBorder="1" applyAlignment="1">
      <alignment horizontal="left" wrapText="1"/>
    </xf>
    <xf numFmtId="0" fontId="7" fillId="0" borderId="6" xfId="0" applyFont="1" applyBorder="1" applyAlignment="1">
      <alignment horizontal="left" wrapText="1"/>
    </xf>
    <xf numFmtId="0" fontId="9" fillId="7" borderId="6" xfId="0" applyFont="1" applyFill="1" applyBorder="1" applyAlignment="1">
      <alignment horizontal="left" wrapText="1"/>
    </xf>
    <xf numFmtId="164" fontId="7" fillId="0" borderId="6" xfId="0" applyNumberFormat="1" applyFont="1" applyBorder="1" applyAlignment="1">
      <alignment wrapText="1"/>
    </xf>
    <xf numFmtId="164" fontId="7" fillId="0" borderId="6" xfId="0" applyNumberFormat="1" applyFont="1" applyBorder="1" applyAlignment="1">
      <alignment horizontal="center" wrapText="1"/>
    </xf>
    <xf numFmtId="166" fontId="7" fillId="10" borderId="6" xfId="1" applyNumberFormat="1" applyFont="1" applyFill="1" applyBorder="1" applyAlignment="1">
      <alignment horizontal="left" wrapText="1"/>
    </xf>
    <xf numFmtId="166" fontId="7" fillId="7" borderId="6" xfId="1" applyNumberFormat="1" applyFont="1" applyFill="1" applyBorder="1" applyAlignment="1">
      <alignment wrapText="1"/>
    </xf>
    <xf numFmtId="0" fontId="6" fillId="0" borderId="6" xfId="0" applyFont="1" applyBorder="1" applyAlignment="1">
      <alignment horizontal="left" wrapText="1"/>
    </xf>
    <xf numFmtId="0" fontId="6" fillId="0" borderId="6" xfId="0" applyFont="1" applyBorder="1" applyAlignment="1">
      <alignment horizontal="center" wrapText="1"/>
    </xf>
    <xf numFmtId="166" fontId="7" fillId="8" borderId="6" xfId="1" applyNumberFormat="1" applyFont="1" applyFill="1" applyBorder="1" applyAlignment="1">
      <alignment horizontal="center" wrapText="1"/>
    </xf>
    <xf numFmtId="166" fontId="6" fillId="0" borderId="6" xfId="1" applyNumberFormat="1" applyFont="1" applyBorder="1" applyAlignment="1">
      <alignment horizontal="center" wrapText="1"/>
    </xf>
    <xf numFmtId="165" fontId="6" fillId="0" borderId="6" xfId="0" applyNumberFormat="1" applyFont="1" applyBorder="1" applyAlignment="1">
      <alignment horizontal="center" wrapText="1"/>
    </xf>
    <xf numFmtId="2" fontId="7" fillId="7" borderId="6" xfId="0" applyNumberFormat="1" applyFont="1" applyFill="1" applyBorder="1" applyAlignment="1">
      <alignment horizontal="left" wrapText="1"/>
    </xf>
    <xf numFmtId="2" fontId="6" fillId="7" borderId="6" xfId="0" applyNumberFormat="1" applyFont="1" applyFill="1" applyBorder="1" applyAlignment="1">
      <alignment horizontal="center" wrapText="1"/>
    </xf>
    <xf numFmtId="1" fontId="7" fillId="0" borderId="6" xfId="0" applyNumberFormat="1" applyFont="1" applyBorder="1" applyAlignment="1">
      <alignment horizontal="right" wrapText="1"/>
    </xf>
    <xf numFmtId="0" fontId="7" fillId="4" borderId="6" xfId="0" applyFont="1" applyFill="1" applyBorder="1" applyAlignment="1">
      <alignment horizontal="center" wrapText="1"/>
    </xf>
    <xf numFmtId="0" fontId="7" fillId="4" borderId="6" xfId="0" applyFont="1" applyFill="1" applyBorder="1" applyAlignment="1">
      <alignment horizontal="right" wrapText="1"/>
    </xf>
    <xf numFmtId="164" fontId="7" fillId="7" borderId="6" xfId="0" applyNumberFormat="1" applyFont="1" applyFill="1" applyBorder="1" applyAlignment="1">
      <alignment horizontal="left" wrapText="1"/>
    </xf>
    <xf numFmtId="164" fontId="7" fillId="11" borderId="6" xfId="0" applyNumberFormat="1" applyFont="1" applyFill="1" applyBorder="1" applyAlignment="1">
      <alignment horizontal="left" wrapText="1"/>
    </xf>
    <xf numFmtId="166" fontId="7" fillId="4" borderId="6" xfId="1" applyNumberFormat="1" applyFont="1" applyFill="1" applyBorder="1" applyAlignment="1">
      <alignment horizontal="left" wrapText="1"/>
    </xf>
    <xf numFmtId="166" fontId="7" fillId="8" borderId="6" xfId="1" applyNumberFormat="1" applyFont="1" applyFill="1" applyBorder="1" applyAlignment="1">
      <alignment horizontal="left" wrapText="1"/>
    </xf>
    <xf numFmtId="166" fontId="7" fillId="8" borderId="6" xfId="1" applyNumberFormat="1" applyFont="1" applyFill="1" applyBorder="1" applyAlignment="1">
      <alignment wrapText="1"/>
    </xf>
    <xf numFmtId="0" fontId="6" fillId="4" borderId="6" xfId="0" applyFont="1" applyFill="1" applyBorder="1" applyAlignment="1">
      <alignment wrapText="1"/>
    </xf>
    <xf numFmtId="166" fontId="7" fillId="7" borderId="6" xfId="1" applyNumberFormat="1" applyFont="1" applyFill="1" applyBorder="1" applyAlignment="1">
      <alignment horizontal="right" wrapText="1"/>
    </xf>
    <xf numFmtId="167" fontId="7" fillId="7" borderId="6" xfId="0" applyNumberFormat="1" applyFont="1" applyFill="1" applyBorder="1" applyAlignment="1">
      <alignment horizontal="right" wrapText="1"/>
    </xf>
    <xf numFmtId="0" fontId="7" fillId="4" borderId="6" xfId="0" applyFont="1" applyFill="1" applyBorder="1" applyAlignment="1">
      <alignment horizontal="left" wrapText="1"/>
    </xf>
    <xf numFmtId="164" fontId="7" fillId="4" borderId="6" xfId="0" applyNumberFormat="1" applyFont="1" applyFill="1" applyBorder="1" applyAlignment="1">
      <alignment horizontal="left" wrapText="1"/>
    </xf>
    <xf numFmtId="166" fontId="7" fillId="11" borderId="6" xfId="1" applyNumberFormat="1" applyFont="1" applyFill="1" applyBorder="1" applyAlignment="1">
      <alignment wrapText="1"/>
    </xf>
    <xf numFmtId="3" fontId="7" fillId="9" borderId="6" xfId="0" applyNumberFormat="1" applyFont="1" applyFill="1" applyBorder="1" applyAlignment="1">
      <alignment horizontal="right" wrapText="1"/>
    </xf>
    <xf numFmtId="17" fontId="7" fillId="7" borderId="6" xfId="0" applyNumberFormat="1" applyFont="1" applyFill="1" applyBorder="1" applyAlignment="1">
      <alignment horizontal="right" wrapText="1"/>
    </xf>
    <xf numFmtId="0" fontId="6" fillId="7" borderId="6" xfId="0" applyFont="1" applyFill="1" applyBorder="1" applyAlignment="1">
      <alignment wrapText="1"/>
    </xf>
    <xf numFmtId="166" fontId="8" fillId="0" borderId="6" xfId="1" applyNumberFormat="1" applyFont="1" applyBorder="1"/>
    <xf numFmtId="0" fontId="7" fillId="7" borderId="6" xfId="0" applyFont="1" applyFill="1" applyBorder="1" applyAlignment="1">
      <alignment horizontal="right" wrapText="1"/>
    </xf>
    <xf numFmtId="0" fontId="2" fillId="2" borderId="6" xfId="2" applyBorder="1" applyAlignment="1">
      <alignment wrapText="1"/>
    </xf>
    <xf numFmtId="0" fontId="9" fillId="7" borderId="6" xfId="0" applyFont="1" applyFill="1" applyBorder="1" applyAlignment="1">
      <alignment wrapText="1"/>
    </xf>
    <xf numFmtId="166" fontId="7" fillId="4" borderId="6" xfId="1" applyNumberFormat="1" applyFont="1" applyFill="1" applyBorder="1" applyAlignment="1">
      <alignment wrapText="1"/>
    </xf>
    <xf numFmtId="166" fontId="7" fillId="8" borderId="6" xfId="1" applyNumberFormat="1" applyFont="1" applyFill="1" applyBorder="1" applyAlignment="1">
      <alignment horizontal="right" wrapText="1"/>
    </xf>
    <xf numFmtId="0" fontId="7" fillId="0" borderId="6" xfId="0" applyFont="1" applyBorder="1"/>
    <xf numFmtId="0" fontId="7" fillId="12" borderId="6" xfId="0" applyFont="1" applyFill="1" applyBorder="1" applyAlignment="1">
      <alignment wrapText="1"/>
    </xf>
    <xf numFmtId="0" fontId="9" fillId="4" borderId="6" xfId="0" applyFont="1" applyFill="1" applyBorder="1" applyAlignment="1">
      <alignment horizontal="left" wrapText="1"/>
    </xf>
    <xf numFmtId="1" fontId="7" fillId="4" borderId="6" xfId="0" applyNumberFormat="1" applyFont="1" applyFill="1" applyBorder="1" applyAlignment="1">
      <alignment horizontal="left" wrapText="1"/>
    </xf>
    <xf numFmtId="166" fontId="7" fillId="7" borderId="6" xfId="1" applyNumberFormat="1" applyFont="1" applyFill="1" applyBorder="1" applyAlignment="1">
      <alignment horizontal="left" wrapText="1"/>
    </xf>
    <xf numFmtId="166" fontId="7" fillId="4" borderId="6" xfId="1" applyNumberFormat="1" applyFont="1" applyFill="1" applyBorder="1" applyAlignment="1">
      <alignment horizontal="right" wrapText="1"/>
    </xf>
    <xf numFmtId="2" fontId="7" fillId="4" borderId="6" xfId="0" applyNumberFormat="1" applyFont="1" applyFill="1" applyBorder="1" applyAlignment="1">
      <alignment horizontal="right" wrapText="1"/>
    </xf>
    <xf numFmtId="1" fontId="7" fillId="4" borderId="6" xfId="0" applyNumberFormat="1" applyFont="1" applyFill="1" applyBorder="1" applyAlignment="1">
      <alignment horizontal="right" wrapText="1"/>
    </xf>
    <xf numFmtId="0" fontId="7" fillId="0" borderId="6" xfId="0" applyFont="1" applyBorder="1" applyAlignment="1">
      <alignment horizontal="center"/>
    </xf>
    <xf numFmtId="0" fontId="7" fillId="13" borderId="6" xfId="0" applyFont="1" applyFill="1" applyBorder="1" applyAlignment="1">
      <alignment wrapText="1"/>
    </xf>
    <xf numFmtId="0" fontId="7" fillId="14" borderId="6" xfId="0" applyFont="1" applyFill="1" applyBorder="1" applyAlignment="1">
      <alignment wrapText="1"/>
    </xf>
    <xf numFmtId="0" fontId="9" fillId="10" borderId="6" xfId="0" applyFont="1" applyFill="1" applyBorder="1" applyAlignment="1">
      <alignment wrapText="1"/>
    </xf>
    <xf numFmtId="164" fontId="7" fillId="10" borderId="6" xfId="0" applyNumberFormat="1" applyFont="1" applyFill="1" applyBorder="1" applyAlignment="1">
      <alignment wrapText="1"/>
    </xf>
    <xf numFmtId="0" fontId="6" fillId="15" borderId="6" xfId="0" applyFont="1" applyFill="1" applyBorder="1" applyAlignment="1">
      <alignment horizontal="left" wrapText="1"/>
    </xf>
    <xf numFmtId="166" fontId="7" fillId="16" borderId="6" xfId="1" applyNumberFormat="1" applyFont="1" applyFill="1" applyBorder="1"/>
    <xf numFmtId="166" fontId="7" fillId="0" borderId="6" xfId="1" applyNumberFormat="1" applyFont="1" applyBorder="1"/>
    <xf numFmtId="0" fontId="7" fillId="13" borderId="6" xfId="0" applyFont="1" applyFill="1" applyBorder="1"/>
    <xf numFmtId="0" fontId="7" fillId="14" borderId="6" xfId="0" applyFont="1" applyFill="1" applyBorder="1"/>
    <xf numFmtId="0" fontId="11" fillId="5" borderId="6" xfId="0" applyFont="1" applyFill="1" applyBorder="1"/>
    <xf numFmtId="0" fontId="11" fillId="5" borderId="6" xfId="0" applyFont="1" applyFill="1" applyBorder="1" applyAlignment="1">
      <alignment horizontal="center"/>
    </xf>
    <xf numFmtId="14" fontId="11" fillId="17" borderId="6" xfId="0" applyNumberFormat="1" applyFont="1" applyFill="1" applyBorder="1"/>
    <xf numFmtId="0" fontId="11" fillId="10" borderId="6" xfId="0" applyFont="1" applyFill="1" applyBorder="1" applyAlignment="1">
      <alignment wrapText="1"/>
    </xf>
    <xf numFmtId="0" fontId="12" fillId="10" borderId="6" xfId="0" applyFont="1" applyFill="1" applyBorder="1" applyAlignment="1">
      <alignment wrapText="1"/>
    </xf>
    <xf numFmtId="0" fontId="7" fillId="10" borderId="6" xfId="0" applyFont="1" applyFill="1" applyBorder="1"/>
    <xf numFmtId="0" fontId="7" fillId="5" borderId="6" xfId="0" applyFont="1" applyFill="1" applyBorder="1"/>
    <xf numFmtId="166" fontId="7" fillId="5" borderId="6" xfId="1" applyNumberFormat="1" applyFont="1" applyFill="1" applyBorder="1"/>
    <xf numFmtId="166" fontId="7" fillId="18" borderId="6" xfId="1" applyNumberFormat="1" applyFont="1" applyFill="1" applyBorder="1"/>
    <xf numFmtId="0" fontId="6" fillId="7" borderId="6" xfId="0" applyFont="1" applyFill="1" applyBorder="1" applyAlignment="1">
      <alignment horizontal="left" wrapText="1"/>
    </xf>
    <xf numFmtId="0" fontId="7" fillId="7" borderId="6" xfId="0" applyFont="1" applyFill="1" applyBorder="1"/>
    <xf numFmtId="0" fontId="7" fillId="17" borderId="6" xfId="0" applyFont="1" applyFill="1" applyBorder="1" applyAlignment="1">
      <alignment wrapText="1"/>
    </xf>
    <xf numFmtId="0" fontId="7" fillId="19" borderId="6" xfId="0" applyFont="1" applyFill="1" applyBorder="1"/>
    <xf numFmtId="0" fontId="7" fillId="5" borderId="6" xfId="0" applyFont="1" applyFill="1" applyBorder="1" applyAlignment="1">
      <alignment horizontal="left" wrapText="1"/>
    </xf>
    <xf numFmtId="0" fontId="7" fillId="10" borderId="6" xfId="0" applyFont="1" applyFill="1" applyBorder="1" applyAlignment="1">
      <alignment wrapText="1"/>
    </xf>
    <xf numFmtId="4" fontId="9" fillId="10" borderId="6" xfId="0" applyNumberFormat="1" applyFont="1" applyFill="1" applyBorder="1" applyAlignment="1">
      <alignment wrapText="1"/>
    </xf>
    <xf numFmtId="164" fontId="7" fillId="7" borderId="6" xfId="0" applyNumberFormat="1" applyFont="1" applyFill="1" applyBorder="1" applyAlignment="1">
      <alignment wrapText="1"/>
    </xf>
    <xf numFmtId="4" fontId="6" fillId="5" borderId="6" xfId="0" applyNumberFormat="1" applyFont="1" applyFill="1" applyBorder="1" applyAlignment="1">
      <alignment wrapText="1"/>
    </xf>
    <xf numFmtId="166" fontId="7" fillId="10" borderId="6" xfId="1" applyNumberFormat="1" applyFont="1" applyFill="1" applyBorder="1" applyAlignment="1">
      <alignment wrapText="1"/>
    </xf>
    <xf numFmtId="166" fontId="7" fillId="0" borderId="6" xfId="1" applyNumberFormat="1" applyFont="1" applyBorder="1" applyAlignment="1">
      <alignment wrapText="1"/>
    </xf>
    <xf numFmtId="0" fontId="7" fillId="10" borderId="6" xfId="0" applyFont="1" applyFill="1" applyBorder="1" applyAlignment="1">
      <alignment horizontal="left" wrapText="1"/>
    </xf>
    <xf numFmtId="2" fontId="7" fillId="0" borderId="6" xfId="0" applyNumberFormat="1" applyFont="1" applyBorder="1" applyAlignment="1">
      <alignment wrapText="1"/>
    </xf>
    <xf numFmtId="2" fontId="6" fillId="0" borderId="6" xfId="0" applyNumberFormat="1" applyFont="1" applyBorder="1" applyAlignment="1">
      <alignment wrapText="1"/>
    </xf>
    <xf numFmtId="1" fontId="7" fillId="10" borderId="6" xfId="0" applyNumberFormat="1" applyFont="1" applyFill="1" applyBorder="1" applyAlignment="1">
      <alignment wrapText="1"/>
    </xf>
    <xf numFmtId="0" fontId="7" fillId="5" borderId="6" xfId="0" applyFont="1" applyFill="1" applyBorder="1" applyAlignment="1">
      <alignment wrapText="1"/>
    </xf>
    <xf numFmtId="0" fontId="7" fillId="5" borderId="6" xfId="0" applyFont="1" applyFill="1" applyBorder="1" applyAlignment="1">
      <alignment horizontal="center" wrapText="1"/>
    </xf>
    <xf numFmtId="17" fontId="7" fillId="5" borderId="6" xfId="0" applyNumberFormat="1" applyFont="1" applyFill="1" applyBorder="1" applyAlignment="1">
      <alignment horizontal="right" wrapText="1"/>
    </xf>
    <xf numFmtId="0" fontId="9" fillId="5" borderId="6" xfId="0" applyFont="1" applyFill="1" applyBorder="1" applyAlignment="1">
      <alignment wrapText="1"/>
    </xf>
    <xf numFmtId="166" fontId="7" fillId="5" borderId="6" xfId="1" applyNumberFormat="1" applyFont="1" applyFill="1" applyBorder="1" applyAlignment="1">
      <alignment horizontal="left" wrapText="1"/>
    </xf>
    <xf numFmtId="0" fontId="6" fillId="5" borderId="6" xfId="0" applyFont="1" applyFill="1" applyBorder="1" applyAlignment="1">
      <alignment wrapText="1"/>
    </xf>
    <xf numFmtId="166" fontId="7" fillId="5" borderId="6" xfId="1" applyNumberFormat="1" applyFont="1" applyFill="1" applyBorder="1" applyAlignment="1">
      <alignment horizontal="right" wrapText="1"/>
    </xf>
    <xf numFmtId="0" fontId="7" fillId="5" borderId="6" xfId="0" applyFont="1" applyFill="1" applyBorder="1" applyAlignment="1">
      <alignment horizontal="right" wrapText="1"/>
    </xf>
    <xf numFmtId="0" fontId="13" fillId="5" borderId="6" xfId="0" applyFont="1" applyFill="1" applyBorder="1" applyAlignment="1">
      <alignment wrapText="1"/>
    </xf>
    <xf numFmtId="167" fontId="7" fillId="4" borderId="6" xfId="0" applyNumberFormat="1" applyFont="1" applyFill="1" applyBorder="1" applyAlignment="1">
      <alignment horizontal="right" wrapText="1"/>
    </xf>
    <xf numFmtId="0" fontId="6" fillId="10" borderId="6" xfId="0" applyFont="1" applyFill="1" applyBorder="1" applyAlignment="1">
      <alignment wrapText="1"/>
    </xf>
    <xf numFmtId="3" fontId="7" fillId="4" borderId="6" xfId="0" applyNumberFormat="1" applyFont="1" applyFill="1" applyBorder="1" applyAlignment="1">
      <alignment horizontal="right" wrapText="1"/>
    </xf>
    <xf numFmtId="0" fontId="13" fillId="4" borderId="6" xfId="0" applyFont="1" applyFill="1" applyBorder="1" applyAlignment="1">
      <alignment wrapText="1"/>
    </xf>
    <xf numFmtId="0" fontId="6" fillId="0" borderId="6" xfId="0" applyFont="1" applyBorder="1"/>
    <xf numFmtId="4" fontId="6" fillId="0" borderId="6" xfId="0" applyNumberFormat="1" applyFont="1" applyBorder="1" applyAlignment="1">
      <alignment wrapText="1"/>
    </xf>
    <xf numFmtId="0" fontId="1" fillId="3" borderId="6" xfId="3" applyBorder="1" applyAlignment="1">
      <alignment wrapText="1"/>
    </xf>
    <xf numFmtId="1" fontId="7" fillId="10" borderId="6" xfId="0" applyNumberFormat="1" applyFont="1" applyFill="1" applyBorder="1" applyAlignment="1">
      <alignment horizontal="left" wrapText="1"/>
    </xf>
    <xf numFmtId="0" fontId="7" fillId="0" borderId="6" xfId="0" applyFont="1" applyBorder="1" applyAlignment="1">
      <alignment horizontal="center" wrapText="1"/>
    </xf>
    <xf numFmtId="0" fontId="7" fillId="0" borderId="6" xfId="0" applyFont="1" applyBorder="1" applyAlignment="1">
      <alignment horizontal="right" wrapText="1"/>
    </xf>
    <xf numFmtId="1" fontId="7" fillId="0" borderId="6" xfId="0" applyNumberFormat="1" applyFont="1" applyBorder="1" applyAlignment="1">
      <alignment horizontal="left" wrapText="1"/>
    </xf>
    <xf numFmtId="166" fontId="7" fillId="20" borderId="6" xfId="1" applyNumberFormat="1" applyFont="1" applyFill="1" applyBorder="1" applyAlignment="1">
      <alignment wrapText="1"/>
    </xf>
    <xf numFmtId="0" fontId="6" fillId="14" borderId="6" xfId="0" applyFont="1" applyFill="1" applyBorder="1" applyAlignment="1">
      <alignment wrapText="1"/>
    </xf>
    <xf numFmtId="0" fontId="7" fillId="21" borderId="6" xfId="0" applyFont="1" applyFill="1" applyBorder="1" applyAlignment="1">
      <alignment horizontal="left" wrapText="1"/>
    </xf>
    <xf numFmtId="17" fontId="7" fillId="4" borderId="6" xfId="0" applyNumberFormat="1" applyFont="1" applyFill="1" applyBorder="1"/>
    <xf numFmtId="49" fontId="7" fillId="10" borderId="6" xfId="0" applyNumberFormat="1" applyFont="1" applyFill="1" applyBorder="1"/>
    <xf numFmtId="166" fontId="7" fillId="10" borderId="6" xfId="1" applyNumberFormat="1" applyFont="1" applyFill="1" applyBorder="1"/>
    <xf numFmtId="2" fontId="7" fillId="7" borderId="6" xfId="0" applyNumberFormat="1" applyFont="1" applyFill="1" applyBorder="1" applyAlignment="1">
      <alignment horizontal="right" wrapText="1"/>
    </xf>
    <xf numFmtId="15" fontId="6" fillId="5" borderId="6" xfId="0" applyNumberFormat="1" applyFont="1" applyFill="1" applyBorder="1" applyAlignment="1">
      <alignment horizontal="left" wrapText="1"/>
    </xf>
    <xf numFmtId="3" fontId="7" fillId="5" borderId="6" xfId="0" applyNumberFormat="1" applyFont="1" applyFill="1" applyBorder="1" applyAlignment="1">
      <alignment horizontal="center" wrapText="1"/>
    </xf>
    <xf numFmtId="15" fontId="7" fillId="7" borderId="6" xfId="0" applyNumberFormat="1" applyFont="1" applyFill="1" applyBorder="1" applyAlignment="1">
      <alignment horizontal="left" wrapText="1"/>
    </xf>
    <xf numFmtId="164" fontId="7" fillId="10" borderId="6" xfId="0" applyNumberFormat="1" applyFont="1" applyFill="1" applyBorder="1" applyAlignment="1">
      <alignment horizontal="center" wrapText="1"/>
    </xf>
    <xf numFmtId="3" fontId="6" fillId="7" borderId="6" xfId="0" applyNumberFormat="1" applyFont="1" applyFill="1" applyBorder="1" applyAlignment="1">
      <alignment horizontal="left" wrapText="1"/>
    </xf>
    <xf numFmtId="3" fontId="7" fillId="7" borderId="6" xfId="0" applyNumberFormat="1" applyFont="1" applyFill="1" applyBorder="1" applyAlignment="1">
      <alignment horizontal="center" wrapText="1"/>
    </xf>
    <xf numFmtId="3" fontId="7" fillId="0" borderId="6" xfId="0" applyNumberFormat="1" applyFont="1" applyBorder="1" applyAlignment="1">
      <alignment horizontal="left" wrapText="1"/>
    </xf>
    <xf numFmtId="2" fontId="6" fillId="5" borderId="6" xfId="0" applyNumberFormat="1" applyFont="1" applyFill="1" applyBorder="1" applyAlignment="1">
      <alignment horizontal="center" wrapText="1"/>
    </xf>
    <xf numFmtId="2" fontId="7" fillId="5" borderId="6" xfId="0" applyNumberFormat="1" applyFont="1" applyFill="1" applyBorder="1" applyAlignment="1">
      <alignment horizontal="center" wrapText="1"/>
    </xf>
    <xf numFmtId="1" fontId="6" fillId="5" borderId="6" xfId="0" applyNumberFormat="1" applyFont="1" applyFill="1" applyBorder="1" applyAlignment="1">
      <alignment horizontal="center" wrapText="1"/>
    </xf>
    <xf numFmtId="166" fontId="7" fillId="5" borderId="6" xfId="0" applyNumberFormat="1" applyFont="1" applyFill="1" applyBorder="1" applyAlignment="1">
      <alignment horizontal="left" wrapText="1"/>
    </xf>
    <xf numFmtId="166" fontId="7" fillId="5" borderId="6" xfId="1" applyNumberFormat="1" applyFont="1" applyFill="1" applyBorder="1" applyAlignment="1">
      <alignment wrapText="1"/>
    </xf>
    <xf numFmtId="0" fontId="7" fillId="5" borderId="6" xfId="0" applyFont="1" applyFill="1" applyBorder="1" applyAlignment="1">
      <alignment horizontal="center"/>
    </xf>
    <xf numFmtId="0" fontId="9" fillId="22" borderId="6" xfId="0" applyFont="1" applyFill="1" applyBorder="1" applyAlignment="1">
      <alignment wrapText="1"/>
    </xf>
    <xf numFmtId="0" fontId="2" fillId="2" borderId="6" xfId="2" applyBorder="1"/>
    <xf numFmtId="0" fontId="1" fillId="3" borderId="6" xfId="3" applyBorder="1" applyAlignment="1">
      <alignment horizontal="left" wrapText="1"/>
    </xf>
    <xf numFmtId="0" fontId="6" fillId="5" borderId="6" xfId="0" applyFont="1" applyFill="1" applyBorder="1" applyAlignment="1">
      <alignment horizontal="left" wrapText="1"/>
    </xf>
    <xf numFmtId="1" fontId="7" fillId="5" borderId="6" xfId="0" applyNumberFormat="1" applyFont="1" applyFill="1" applyBorder="1" applyAlignment="1">
      <alignment horizontal="left" wrapText="1"/>
    </xf>
    <xf numFmtId="2" fontId="7" fillId="5" borderId="6" xfId="0" applyNumberFormat="1" applyFont="1" applyFill="1" applyBorder="1" applyAlignment="1">
      <alignment horizontal="right" wrapText="1"/>
    </xf>
    <xf numFmtId="1" fontId="7" fillId="5" borderId="6" xfId="0" applyNumberFormat="1" applyFont="1" applyFill="1" applyBorder="1" applyAlignment="1">
      <alignment horizontal="right" wrapText="1"/>
    </xf>
    <xf numFmtId="0" fontId="7" fillId="10" borderId="6" xfId="0" applyFont="1" applyFill="1" applyBorder="1" applyAlignment="1">
      <alignment horizontal="center" wrapText="1"/>
    </xf>
    <xf numFmtId="0" fontId="7" fillId="7" borderId="6" xfId="0" applyFont="1" applyFill="1" applyBorder="1" applyAlignment="1">
      <alignment horizontal="center" wrapText="1"/>
    </xf>
    <xf numFmtId="164" fontId="6" fillId="5" borderId="6" xfId="0" applyNumberFormat="1" applyFont="1" applyFill="1" applyBorder="1" applyAlignment="1">
      <alignment horizontal="left" wrapText="1"/>
    </xf>
    <xf numFmtId="0" fontId="6" fillId="23" borderId="6" xfId="0" applyFont="1" applyFill="1" applyBorder="1" applyAlignment="1">
      <alignment horizontal="left" wrapText="1"/>
    </xf>
    <xf numFmtId="166" fontId="7" fillId="5" borderId="6" xfId="1" applyNumberFormat="1" applyFont="1" applyFill="1" applyBorder="1" applyAlignment="1">
      <alignment horizontal="center" wrapText="1"/>
    </xf>
    <xf numFmtId="165" fontId="7" fillId="5" borderId="6" xfId="0" applyNumberFormat="1" applyFont="1" applyFill="1" applyBorder="1" applyAlignment="1">
      <alignment horizontal="center" wrapText="1"/>
    </xf>
    <xf numFmtId="2" fontId="7" fillId="23" borderId="6" xfId="0" applyNumberFormat="1" applyFont="1" applyFill="1" applyBorder="1" applyAlignment="1">
      <alignment horizontal="left" wrapText="1"/>
    </xf>
    <xf numFmtId="0" fontId="6" fillId="21" borderId="6" xfId="0" applyFont="1" applyFill="1" applyBorder="1" applyAlignment="1">
      <alignment wrapText="1"/>
    </xf>
    <xf numFmtId="166" fontId="7" fillId="7" borderId="6" xfId="0" applyNumberFormat="1" applyFont="1" applyFill="1" applyBorder="1" applyAlignment="1">
      <alignment horizontal="left" wrapText="1"/>
    </xf>
    <xf numFmtId="0" fontId="1" fillId="3" borderId="6" xfId="3" applyBorder="1"/>
    <xf numFmtId="0" fontId="17" fillId="0" borderId="6" xfId="0" applyFont="1" applyBorder="1" applyAlignment="1">
      <alignment wrapText="1"/>
    </xf>
    <xf numFmtId="0" fontId="18" fillId="0" borderId="6" xfId="0" applyFont="1" applyBorder="1"/>
    <xf numFmtId="14" fontId="19" fillId="0" borderId="0" xfId="0" applyNumberFormat="1" applyFont="1"/>
    <xf numFmtId="0" fontId="18" fillId="14" borderId="6" xfId="0" applyFont="1" applyFill="1" applyBorder="1"/>
    <xf numFmtId="166" fontId="7" fillId="24" borderId="6" xfId="1" applyNumberFormat="1" applyFont="1" applyFill="1" applyBorder="1"/>
    <xf numFmtId="3" fontId="6" fillId="17" borderId="6" xfId="0" applyNumberFormat="1" applyFont="1" applyFill="1" applyBorder="1" applyAlignment="1">
      <alignment horizontal="left" wrapText="1"/>
    </xf>
    <xf numFmtId="2" fontId="7" fillId="7" borderId="6" xfId="0" applyNumberFormat="1" applyFont="1" applyFill="1" applyBorder="1" applyAlignment="1">
      <alignment horizontal="center" wrapText="1"/>
    </xf>
    <xf numFmtId="1" fontId="7" fillId="10" borderId="6" xfId="0" applyNumberFormat="1" applyFont="1" applyFill="1" applyBorder="1" applyAlignment="1">
      <alignment horizontal="right" wrapText="1"/>
    </xf>
    <xf numFmtId="49" fontId="7" fillId="4" borderId="6" xfId="0" applyNumberFormat="1" applyFont="1" applyFill="1" applyBorder="1" applyAlignment="1">
      <alignment horizontal="right" wrapText="1"/>
    </xf>
    <xf numFmtId="166" fontId="7" fillId="25" borderId="6" xfId="1" applyNumberFormat="1" applyFont="1" applyFill="1" applyBorder="1" applyAlignment="1">
      <alignment wrapText="1"/>
    </xf>
    <xf numFmtId="166" fontId="7" fillId="26" borderId="6" xfId="1" applyNumberFormat="1" applyFont="1" applyFill="1" applyBorder="1" applyAlignment="1">
      <alignment horizontal="right" wrapText="1"/>
    </xf>
    <xf numFmtId="0" fontId="21" fillId="4" borderId="6" xfId="4" applyFont="1" applyFill="1" applyBorder="1" applyAlignment="1">
      <alignment wrapText="1"/>
    </xf>
    <xf numFmtId="0" fontId="5" fillId="6" borderId="6" xfId="0" applyFont="1" applyFill="1" applyBorder="1" applyAlignment="1">
      <alignment horizontal="center" wrapText="1"/>
    </xf>
    <xf numFmtId="0" fontId="2" fillId="2" borderId="7" xfId="2" applyBorder="1" applyAlignment="1">
      <alignment wrapText="1"/>
    </xf>
    <xf numFmtId="0" fontId="6" fillId="4" borderId="7" xfId="0" applyFont="1" applyFill="1" applyBorder="1" applyAlignment="1">
      <alignment wrapText="1"/>
    </xf>
    <xf numFmtId="0" fontId="7" fillId="4" borderId="7" xfId="0" applyFont="1" applyFill="1" applyBorder="1" applyAlignment="1">
      <alignment wrapText="1"/>
    </xf>
    <xf numFmtId="0" fontId="7" fillId="4" borderId="7" xfId="0" applyFont="1" applyFill="1" applyBorder="1" applyAlignment="1">
      <alignment horizontal="center" wrapText="1"/>
    </xf>
    <xf numFmtId="0" fontId="7" fillId="27" borderId="7" xfId="0" applyFont="1" applyFill="1" applyBorder="1" applyAlignment="1">
      <alignment horizontal="left" wrapText="1"/>
    </xf>
    <xf numFmtId="0" fontId="7" fillId="27" borderId="7" xfId="0" applyFont="1" applyFill="1" applyBorder="1" applyAlignment="1">
      <alignment wrapText="1"/>
    </xf>
    <xf numFmtId="0" fontId="19" fillId="0" borderId="0" xfId="0" applyFont="1"/>
    <xf numFmtId="166" fontId="7" fillId="8" borderId="7" xfId="1" applyNumberFormat="1" applyFont="1" applyFill="1" applyBorder="1" applyAlignment="1">
      <alignment horizontal="center" wrapText="1"/>
    </xf>
    <xf numFmtId="166" fontId="7" fillId="8" borderId="7" xfId="1" applyNumberFormat="1" applyFont="1" applyFill="1" applyBorder="1" applyAlignment="1">
      <alignment horizontal="right" wrapText="1"/>
    </xf>
    <xf numFmtId="166" fontId="7" fillId="8" borderId="7" xfId="0" applyNumberFormat="1" applyFont="1" applyFill="1" applyBorder="1" applyAlignment="1">
      <alignment horizontal="center" wrapText="1"/>
    </xf>
    <xf numFmtId="166" fontId="7" fillId="10" borderId="7" xfId="1" applyNumberFormat="1" applyFont="1" applyFill="1" applyBorder="1" applyAlignment="1">
      <alignment horizontal="center" wrapText="1"/>
    </xf>
    <xf numFmtId="166" fontId="19" fillId="0" borderId="0" xfId="1" applyNumberFormat="1" applyFont="1" applyBorder="1"/>
    <xf numFmtId="0" fontId="7" fillId="27" borderId="6" xfId="0" applyFont="1" applyFill="1" applyBorder="1" applyAlignment="1">
      <alignment wrapText="1"/>
    </xf>
    <xf numFmtId="0" fontId="7" fillId="27" borderId="6" xfId="0" applyFont="1" applyFill="1" applyBorder="1" applyAlignment="1">
      <alignment horizontal="left" wrapText="1"/>
    </xf>
    <xf numFmtId="0" fontId="7" fillId="19" borderId="0" xfId="0" applyFont="1" applyFill="1" applyAlignment="1">
      <alignment wrapText="1"/>
    </xf>
    <xf numFmtId="166" fontId="7" fillId="0" borderId="6" xfId="1" applyNumberFormat="1" applyFont="1" applyBorder="1" applyAlignment="1">
      <alignment horizontal="center" wrapText="1"/>
    </xf>
    <xf numFmtId="166" fontId="7" fillId="0" borderId="6" xfId="1" applyNumberFormat="1" applyFont="1" applyBorder="1" applyAlignment="1">
      <alignment horizontal="right" wrapText="1"/>
    </xf>
    <xf numFmtId="166" fontId="7" fillId="0" borderId="6" xfId="0" applyNumberFormat="1" applyFont="1" applyBorder="1" applyAlignment="1">
      <alignment horizontal="center" wrapText="1"/>
    </xf>
    <xf numFmtId="166" fontId="19" fillId="0" borderId="0" xfId="1" applyNumberFormat="1" applyFont="1"/>
    <xf numFmtId="0" fontId="13" fillId="4" borderId="6" xfId="4" applyFont="1" applyFill="1" applyBorder="1" applyAlignment="1">
      <alignment wrapText="1"/>
    </xf>
    <xf numFmtId="0" fontId="6" fillId="19" borderId="6" xfId="0" applyFont="1" applyFill="1" applyBorder="1" applyAlignment="1">
      <alignment wrapText="1"/>
    </xf>
    <xf numFmtId="1" fontId="7" fillId="7" borderId="6" xfId="0" applyNumberFormat="1" applyFont="1" applyFill="1" applyBorder="1" applyAlignment="1">
      <alignment horizontal="right" wrapText="1"/>
    </xf>
    <xf numFmtId="0" fontId="7" fillId="27" borderId="6" xfId="0" applyFont="1" applyFill="1" applyBorder="1" applyAlignment="1">
      <alignment horizontal="right" wrapText="1"/>
    </xf>
    <xf numFmtId="166" fontId="6" fillId="0" borderId="6" xfId="1" applyNumberFormat="1" applyFont="1" applyBorder="1" applyAlignment="1">
      <alignment horizontal="right" wrapText="1"/>
    </xf>
    <xf numFmtId="166" fontId="7" fillId="0" borderId="6" xfId="1" applyNumberFormat="1" applyFont="1" applyBorder="1" applyAlignment="1">
      <alignment horizontal="left" wrapText="1"/>
    </xf>
    <xf numFmtId="0" fontId="7" fillId="27" borderId="6" xfId="0" applyFont="1" applyFill="1" applyBorder="1" applyAlignment="1">
      <alignment horizontal="center" wrapText="1"/>
    </xf>
    <xf numFmtId="0" fontId="7" fillId="28" borderId="6" xfId="0" applyFont="1" applyFill="1" applyBorder="1" applyAlignment="1">
      <alignment wrapText="1"/>
    </xf>
    <xf numFmtId="0" fontId="6" fillId="5" borderId="3" xfId="0" applyFont="1" applyFill="1" applyBorder="1" applyAlignment="1">
      <alignment horizontal="left" wrapText="1"/>
    </xf>
    <xf numFmtId="15" fontId="6" fillId="5" borderId="3" xfId="0" applyNumberFormat="1" applyFont="1" applyFill="1" applyBorder="1" applyAlignment="1">
      <alignment horizontal="left" wrapText="1"/>
    </xf>
    <xf numFmtId="0" fontId="7" fillId="5" borderId="3" xfId="0" applyFont="1" applyFill="1" applyBorder="1" applyAlignment="1">
      <alignment wrapText="1"/>
    </xf>
    <xf numFmtId="3" fontId="7" fillId="5" borderId="3" xfId="0" applyNumberFormat="1" applyFont="1" applyFill="1" applyBorder="1" applyAlignment="1">
      <alignment horizontal="center" wrapText="1"/>
    </xf>
    <xf numFmtId="15" fontId="7" fillId="5" borderId="3" xfId="0" applyNumberFormat="1" applyFont="1" applyFill="1" applyBorder="1" applyAlignment="1">
      <alignment horizontal="center" wrapText="1"/>
    </xf>
    <xf numFmtId="0" fontId="7" fillId="5" borderId="3" xfId="0" applyFont="1" applyFill="1" applyBorder="1" applyAlignment="1">
      <alignment horizontal="left" wrapText="1"/>
    </xf>
    <xf numFmtId="164" fontId="7" fillId="5" borderId="3" xfId="0" applyNumberFormat="1" applyFont="1" applyFill="1" applyBorder="1" applyAlignment="1">
      <alignment wrapText="1"/>
    </xf>
    <xf numFmtId="164" fontId="7" fillId="10" borderId="3" xfId="0" applyNumberFormat="1" applyFont="1" applyFill="1" applyBorder="1" applyAlignment="1">
      <alignment horizontal="center" wrapText="1"/>
    </xf>
    <xf numFmtId="166" fontId="7" fillId="5" borderId="3" xfId="1" applyNumberFormat="1" applyFont="1" applyFill="1" applyBorder="1" applyAlignment="1">
      <alignment horizontal="center" wrapText="1"/>
    </xf>
    <xf numFmtId="3" fontId="6" fillId="10" borderId="3" xfId="0" applyNumberFormat="1" applyFont="1" applyFill="1" applyBorder="1" applyAlignment="1">
      <alignment horizontal="left" wrapText="1"/>
    </xf>
    <xf numFmtId="166" fontId="7" fillId="5" borderId="3" xfId="1" applyNumberFormat="1" applyFont="1" applyFill="1" applyBorder="1"/>
    <xf numFmtId="166" fontId="6" fillId="5" borderId="3" xfId="1" applyNumberFormat="1" applyFont="1" applyFill="1" applyBorder="1" applyAlignment="1">
      <alignment horizontal="center" wrapText="1"/>
    </xf>
    <xf numFmtId="3" fontId="7" fillId="10" borderId="3" xfId="0" applyNumberFormat="1" applyFont="1" applyFill="1" applyBorder="1" applyAlignment="1">
      <alignment horizontal="left" wrapText="1"/>
    </xf>
    <xf numFmtId="2" fontId="6" fillId="5" borderId="3" xfId="0" applyNumberFormat="1" applyFont="1" applyFill="1" applyBorder="1" applyAlignment="1">
      <alignment horizontal="center" wrapText="1"/>
    </xf>
    <xf numFmtId="1" fontId="7" fillId="10" borderId="3" xfId="0" applyNumberFormat="1" applyFont="1" applyFill="1" applyBorder="1" applyAlignment="1">
      <alignment horizontal="center" wrapText="1"/>
    </xf>
    <xf numFmtId="0" fontId="6" fillId="5" borderId="3" xfId="0" applyFont="1" applyFill="1" applyBorder="1" applyAlignment="1">
      <alignment horizontal="center" wrapText="1"/>
    </xf>
    <xf numFmtId="0" fontId="6" fillId="4" borderId="8" xfId="0" applyFont="1" applyFill="1" applyBorder="1" applyAlignment="1">
      <alignment horizontal="left" wrapText="1"/>
    </xf>
    <xf numFmtId="0" fontId="6" fillId="0" borderId="8" xfId="0" applyFont="1" applyBorder="1" applyAlignment="1">
      <alignment horizontal="left" wrapText="1"/>
    </xf>
    <xf numFmtId="0" fontId="7" fillId="4" borderId="8" xfId="0" applyFont="1" applyFill="1" applyBorder="1" applyAlignment="1">
      <alignment wrapText="1"/>
    </xf>
    <xf numFmtId="0" fontId="7" fillId="4" borderId="8" xfId="0" applyFont="1" applyFill="1" applyBorder="1" applyAlignment="1">
      <alignment horizontal="center" wrapText="1"/>
    </xf>
    <xf numFmtId="0" fontId="7" fillId="4" borderId="8" xfId="0" applyFont="1" applyFill="1" applyBorder="1" applyAlignment="1">
      <alignment horizontal="right" wrapText="1"/>
    </xf>
    <xf numFmtId="0" fontId="7" fillId="4" borderId="8" xfId="0" applyFont="1" applyFill="1" applyBorder="1" applyAlignment="1">
      <alignment horizontal="left" wrapText="1"/>
    </xf>
    <xf numFmtId="164" fontId="7" fillId="4" borderId="8" xfId="0" applyNumberFormat="1" applyFont="1" applyFill="1" applyBorder="1" applyAlignment="1">
      <alignment horizontal="left" wrapText="1"/>
    </xf>
    <xf numFmtId="164" fontId="7" fillId="7" borderId="8" xfId="0" applyNumberFormat="1" applyFont="1" applyFill="1" applyBorder="1" applyAlignment="1">
      <alignment horizontal="left" wrapText="1"/>
    </xf>
    <xf numFmtId="164" fontId="7" fillId="11" borderId="9" xfId="0" applyNumberFormat="1" applyFont="1" applyFill="1" applyBorder="1" applyAlignment="1">
      <alignment horizontal="left" wrapText="1"/>
    </xf>
    <xf numFmtId="166" fontId="7" fillId="4" borderId="8" xfId="1" applyNumberFormat="1" applyFont="1" applyFill="1" applyBorder="1" applyAlignment="1">
      <alignment horizontal="left" wrapText="1"/>
    </xf>
    <xf numFmtId="166" fontId="7" fillId="7" borderId="8" xfId="1" applyNumberFormat="1" applyFont="1" applyFill="1" applyBorder="1" applyAlignment="1">
      <alignment wrapText="1"/>
    </xf>
    <xf numFmtId="166" fontId="7" fillId="8" borderId="8" xfId="1" applyNumberFormat="1" applyFont="1" applyFill="1" applyBorder="1" applyAlignment="1">
      <alignment wrapText="1"/>
    </xf>
    <xf numFmtId="0" fontId="6" fillId="4" borderId="8" xfId="0" applyFont="1" applyFill="1" applyBorder="1" applyAlignment="1">
      <alignment wrapText="1"/>
    </xf>
    <xf numFmtId="0" fontId="7" fillId="4" borderId="3" xfId="0" applyFont="1" applyFill="1" applyBorder="1"/>
    <xf numFmtId="166" fontId="7" fillId="8" borderId="0" xfId="1" applyNumberFormat="1" applyFont="1" applyFill="1" applyBorder="1" applyAlignment="1">
      <alignment wrapText="1"/>
    </xf>
    <xf numFmtId="166" fontId="7" fillId="4" borderId="8" xfId="1" applyNumberFormat="1" applyFont="1" applyFill="1" applyBorder="1" applyAlignment="1">
      <alignment horizontal="right" wrapText="1"/>
    </xf>
    <xf numFmtId="1" fontId="7" fillId="7" borderId="8" xfId="0" applyNumberFormat="1" applyFont="1" applyFill="1" applyBorder="1" applyAlignment="1">
      <alignment horizontal="left" wrapText="1"/>
    </xf>
    <xf numFmtId="0" fontId="7" fillId="7" borderId="0" xfId="0" applyFont="1" applyFill="1" applyAlignment="1">
      <alignment horizontal="left" wrapText="1"/>
    </xf>
    <xf numFmtId="0" fontId="7" fillId="9" borderId="8" xfId="0" applyFont="1" applyFill="1" applyBorder="1" applyAlignment="1">
      <alignment wrapText="1"/>
    </xf>
    <xf numFmtId="0" fontId="2" fillId="2" borderId="3" xfId="2" applyBorder="1" applyAlignment="1">
      <alignment wrapText="1"/>
    </xf>
    <xf numFmtId="0" fontId="6" fillId="4" borderId="3" xfId="0" applyFont="1" applyFill="1" applyBorder="1" applyAlignment="1">
      <alignment wrapText="1"/>
    </xf>
    <xf numFmtId="0" fontId="7" fillId="4" borderId="3" xfId="0" applyFont="1" applyFill="1" applyBorder="1" applyAlignment="1">
      <alignment wrapText="1"/>
    </xf>
    <xf numFmtId="0" fontId="7" fillId="4" borderId="3" xfId="0" applyFont="1" applyFill="1" applyBorder="1" applyAlignment="1">
      <alignment horizontal="center" wrapText="1"/>
    </xf>
    <xf numFmtId="0" fontId="7" fillId="7" borderId="3" xfId="0" applyFont="1" applyFill="1" applyBorder="1" applyAlignment="1">
      <alignment wrapText="1"/>
    </xf>
    <xf numFmtId="166" fontId="7" fillId="4" borderId="3" xfId="1" applyNumberFormat="1" applyFont="1" applyFill="1" applyBorder="1" applyAlignment="1">
      <alignment wrapText="1"/>
    </xf>
    <xf numFmtId="2" fontId="7" fillId="4" borderId="3" xfId="0" applyNumberFormat="1" applyFont="1" applyFill="1" applyBorder="1" applyAlignment="1">
      <alignment horizontal="right" wrapText="1"/>
    </xf>
    <xf numFmtId="166" fontId="7" fillId="4" borderId="3" xfId="1" applyNumberFormat="1" applyFont="1" applyFill="1" applyBorder="1" applyAlignment="1">
      <alignment horizontal="left" wrapText="1"/>
    </xf>
    <xf numFmtId="166" fontId="7" fillId="4" borderId="3" xfId="1" applyNumberFormat="1" applyFont="1" applyFill="1" applyBorder="1" applyAlignment="1">
      <alignment horizontal="right" wrapText="1"/>
    </xf>
    <xf numFmtId="3" fontId="7" fillId="4" borderId="3" xfId="0" applyNumberFormat="1" applyFont="1" applyFill="1" applyBorder="1" applyAlignment="1">
      <alignment wrapText="1"/>
    </xf>
    <xf numFmtId="2" fontId="7" fillId="7" borderId="3" xfId="0" applyNumberFormat="1" applyFont="1" applyFill="1" applyBorder="1" applyAlignment="1">
      <alignment horizontal="right" wrapText="1"/>
    </xf>
    <xf numFmtId="1" fontId="7" fillId="4" borderId="3" xfId="0" applyNumberFormat="1" applyFont="1" applyFill="1" applyBorder="1" applyAlignment="1">
      <alignment horizontal="right" wrapText="1"/>
    </xf>
    <xf numFmtId="0" fontId="7" fillId="4" borderId="10" xfId="0" applyFont="1" applyFill="1" applyBorder="1" applyAlignment="1">
      <alignment wrapText="1"/>
    </xf>
    <xf numFmtId="0" fontId="2" fillId="2" borderId="8" xfId="2" applyBorder="1"/>
    <xf numFmtId="0" fontId="6" fillId="4" borderId="8" xfId="0" applyFont="1" applyFill="1" applyBorder="1"/>
    <xf numFmtId="0" fontId="7" fillId="5" borderId="8" xfId="0" applyFont="1" applyFill="1" applyBorder="1"/>
    <xf numFmtId="0" fontId="7" fillId="5" borderId="8" xfId="0" applyFont="1" applyFill="1" applyBorder="1" applyAlignment="1">
      <alignment horizontal="center"/>
    </xf>
    <xf numFmtId="0" fontId="7" fillId="4" borderId="8" xfId="0" applyFont="1" applyFill="1" applyBorder="1"/>
    <xf numFmtId="166" fontId="7" fillId="5" borderId="8" xfId="1" applyNumberFormat="1" applyFont="1" applyFill="1" applyBorder="1"/>
    <xf numFmtId="166" fontId="7" fillId="7" borderId="8" xfId="1" applyNumberFormat="1" applyFont="1" applyFill="1" applyBorder="1"/>
    <xf numFmtId="4" fontId="6" fillId="4" borderId="8" xfId="0" applyNumberFormat="1" applyFont="1" applyFill="1" applyBorder="1" applyAlignment="1">
      <alignment wrapText="1"/>
    </xf>
    <xf numFmtId="166" fontId="7" fillId="4" borderId="8" xfId="1" applyNumberFormat="1" applyFont="1" applyFill="1" applyBorder="1"/>
    <xf numFmtId="166" fontId="7" fillId="8" borderId="8" xfId="1" applyNumberFormat="1" applyFont="1" applyFill="1" applyBorder="1"/>
    <xf numFmtId="0" fontId="7" fillId="7" borderId="9" xfId="0" applyFont="1" applyFill="1" applyBorder="1" applyAlignment="1">
      <alignment wrapText="1"/>
    </xf>
    <xf numFmtId="0" fontId="7" fillId="5" borderId="8" xfId="0" applyFont="1" applyFill="1" applyBorder="1" applyAlignment="1">
      <alignment horizontal="left" wrapText="1"/>
    </xf>
    <xf numFmtId="0" fontId="2" fillId="2" borderId="8" xfId="2" applyBorder="1" applyAlignment="1">
      <alignment horizontal="left" wrapText="1"/>
    </xf>
    <xf numFmtId="167" fontId="7" fillId="4" borderId="8" xfId="0" applyNumberFormat="1" applyFont="1" applyFill="1" applyBorder="1" applyAlignment="1">
      <alignment horizontal="right" wrapText="1"/>
    </xf>
    <xf numFmtId="166" fontId="7" fillId="4" borderId="8" xfId="0" applyNumberFormat="1" applyFont="1" applyFill="1" applyBorder="1" applyAlignment="1">
      <alignment horizontal="left" wrapText="1"/>
    </xf>
    <xf numFmtId="166" fontId="7" fillId="4" borderId="8" xfId="1" applyNumberFormat="1" applyFont="1" applyFill="1" applyBorder="1" applyAlignment="1">
      <alignment wrapText="1"/>
    </xf>
    <xf numFmtId="2" fontId="7" fillId="4" borderId="8" xfId="0" applyNumberFormat="1" applyFont="1" applyFill="1" applyBorder="1" applyAlignment="1">
      <alignment horizontal="right" wrapText="1"/>
    </xf>
    <xf numFmtId="166" fontId="7" fillId="8" borderId="8" xfId="1" applyNumberFormat="1" applyFont="1" applyFill="1" applyBorder="1" applyAlignment="1">
      <alignment horizontal="left" wrapText="1"/>
    </xf>
    <xf numFmtId="2" fontId="7" fillId="4" borderId="8" xfId="0" applyNumberFormat="1" applyFont="1" applyFill="1" applyBorder="1" applyAlignment="1">
      <alignment horizontal="left" wrapText="1"/>
    </xf>
    <xf numFmtId="0" fontId="7" fillId="4" borderId="9" xfId="0" applyFont="1" applyFill="1" applyBorder="1" applyAlignment="1">
      <alignment wrapText="1"/>
    </xf>
    <xf numFmtId="0" fontId="13" fillId="4" borderId="8" xfId="0" applyFont="1" applyFill="1" applyBorder="1" applyAlignment="1">
      <alignment wrapText="1"/>
    </xf>
    <xf numFmtId="0" fontId="2" fillId="2" borderId="8" xfId="2" applyBorder="1" applyAlignment="1">
      <alignment wrapText="1"/>
    </xf>
    <xf numFmtId="1" fontId="7" fillId="4" borderId="8" xfId="0" applyNumberFormat="1" applyFont="1" applyFill="1" applyBorder="1" applyAlignment="1">
      <alignment horizontal="left" wrapText="1"/>
    </xf>
    <xf numFmtId="1" fontId="7" fillId="4" borderId="8" xfId="0" applyNumberFormat="1" applyFont="1" applyFill="1" applyBorder="1" applyAlignment="1">
      <alignment horizontal="right" wrapText="1"/>
    </xf>
    <xf numFmtId="0" fontId="13" fillId="4" borderId="8" xfId="0" applyFont="1" applyFill="1" applyBorder="1" applyAlignment="1">
      <alignment horizontal="left" wrapText="1"/>
    </xf>
    <xf numFmtId="0" fontId="6" fillId="21" borderId="6" xfId="0" applyFont="1" applyFill="1" applyBorder="1" applyAlignment="1">
      <alignment horizontal="left" wrapText="1"/>
    </xf>
    <xf numFmtId="164" fontId="7" fillId="0" borderId="6" xfId="0" applyNumberFormat="1" applyFont="1" applyBorder="1" applyAlignment="1">
      <alignment horizontal="left" wrapText="1"/>
    </xf>
    <xf numFmtId="166" fontId="7" fillId="7" borderId="6" xfId="1" applyNumberFormat="1" applyFont="1" applyFill="1" applyBorder="1" applyAlignment="1">
      <alignment horizontal="center" wrapText="1"/>
    </xf>
    <xf numFmtId="165" fontId="7" fillId="0" borderId="6" xfId="0" applyNumberFormat="1" applyFont="1" applyBorder="1" applyAlignment="1">
      <alignment horizontal="center" wrapText="1"/>
    </xf>
    <xf numFmtId="2" fontId="7" fillId="0" borderId="6" xfId="0" applyNumberFormat="1" applyFont="1" applyBorder="1" applyAlignment="1">
      <alignment horizontal="center" wrapText="1"/>
    </xf>
    <xf numFmtId="0" fontId="13" fillId="0" borderId="6" xfId="4" applyFont="1" applyBorder="1" applyAlignment="1">
      <alignment horizontal="left" wrapText="1"/>
    </xf>
  </cellXfs>
  <cellStyles count="5">
    <cellStyle name="40% - Accent1" xfId="3" builtinId="31"/>
    <cellStyle name="Bad" xfId="2" builtinId="27"/>
    <cellStyle name="Comma" xfId="1" builtinId="3"/>
    <cellStyle name="Hyperlink" xfId="4"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wsscwater.com/sites/default/files/2023-05/FAQ%20sheets%20updated%2005.01.23.pdf" TargetMode="External"/><Relationship Id="rId3" Type="http://schemas.openxmlformats.org/officeDocument/2006/relationships/hyperlink" Target="http://www.kingcounty.gov/depts/dnrp/wtd/system/south.aspx" TargetMode="External"/><Relationship Id="rId7" Type="http://schemas.openxmlformats.org/officeDocument/2006/relationships/hyperlink" Target="http://www.abc12.com/home/headlines/Biogas-is-producing-electricity-at-Flint-waste-water-plant-338569892.html" TargetMode="External"/><Relationship Id="rId2" Type="http://schemas.openxmlformats.org/officeDocument/2006/relationships/hyperlink" Target="https://bouldercolorado.gov/newsroom/city-of-boulder-partners-with-tetra-tech-and-cgrs-for-biogas-use-enhancement-project?MvBriefArticleId=7046" TargetMode="External"/><Relationship Id="rId1" Type="http://schemas.openxmlformats.org/officeDocument/2006/relationships/hyperlink" Target="http://www.gjcity.org/residents/persigo-wastewater-treatment-plant/" TargetMode="External"/><Relationship Id="rId6" Type="http://schemas.openxmlformats.org/officeDocument/2006/relationships/hyperlink" Target="http://www.dunedingov.com/index.aspx?page=116" TargetMode="External"/><Relationship Id="rId5" Type="http://schemas.openxmlformats.org/officeDocument/2006/relationships/hyperlink" Target="http://www.energy.ca.gov/2017publications/CEC-500-2017-004/CEC-500-2017-004.pdf;%20adding%20food%20waste%20and%20FOG%20at%20WWTP,%20but%20apparently%20electric%20only." TargetMode="External"/><Relationship Id="rId10" Type="http://schemas.openxmlformats.org/officeDocument/2006/relationships/hyperlink" Target="https://www.epa.gov/sites/production/files/2016-05/documents/wrrf_fresno_v2_may_12.pdf" TargetMode="External"/><Relationship Id="rId4" Type="http://schemas.openxmlformats.org/officeDocument/2006/relationships/hyperlink" Target="https://biocng.us/wp-content/uploads/2015/06/Janesville-Fact-Sheet-2015.pdf" TargetMode="External"/><Relationship Id="rId9" Type="http://schemas.openxmlformats.org/officeDocument/2006/relationships/hyperlink" Target="https://raleighnc.gov/water-and-sewer/bio-energy-recovery-proj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E092-FE95-4889-9D45-5EDDE7623302}">
  <dimension ref="A1:V52"/>
  <sheetViews>
    <sheetView tabSelected="1" workbookViewId="0">
      <selection activeCell="L1" sqref="L1"/>
    </sheetView>
  </sheetViews>
  <sheetFormatPr defaultRowHeight="15" x14ac:dyDescent="0.25"/>
  <cols>
    <col min="1" max="1" width="23.42578125" customWidth="1"/>
    <col min="2" max="2" width="12.140625" customWidth="1"/>
    <col min="3" max="3" width="11" customWidth="1"/>
    <col min="4" max="4" width="4.5703125" customWidth="1"/>
    <col min="5" max="5" width="9.85546875" customWidth="1"/>
    <col min="6" max="6" width="19.5703125" customWidth="1"/>
    <col min="7" max="7" width="65.28515625" customWidth="1"/>
    <col min="8" max="8" width="8.85546875" customWidth="1"/>
    <col min="9" max="9" width="10.5703125" customWidth="1"/>
    <col min="10" max="10" width="8.28515625" customWidth="1"/>
    <col min="11" max="11" width="8.140625" customWidth="1"/>
    <col min="12" max="12" width="9.28515625" customWidth="1"/>
    <col min="13" max="13" width="9.85546875" customWidth="1"/>
    <col min="14" max="14" width="11.28515625" customWidth="1"/>
    <col min="15" max="16" width="9.7109375" customWidth="1"/>
    <col min="17" max="17" width="15" customWidth="1"/>
    <col min="18" max="18" width="3.140625" customWidth="1"/>
    <col min="19" max="19" width="8.28515625" customWidth="1"/>
    <col min="20" max="20" width="11.7109375" customWidth="1"/>
    <col min="21" max="21" width="9.85546875" customWidth="1"/>
    <col min="22" max="22" width="42.42578125" customWidth="1"/>
  </cols>
  <sheetData>
    <row r="1" spans="1:22" ht="48.75" x14ac:dyDescent="0.25">
      <c r="A1" s="1" t="s">
        <v>0</v>
      </c>
      <c r="B1" s="2" t="s">
        <v>1</v>
      </c>
      <c r="C1" s="2" t="s">
        <v>2</v>
      </c>
      <c r="D1" s="3" t="s">
        <v>3</v>
      </c>
      <c r="E1" s="2" t="s">
        <v>4</v>
      </c>
      <c r="F1" s="2" t="s">
        <v>5</v>
      </c>
      <c r="G1" s="2" t="s">
        <v>6</v>
      </c>
      <c r="H1" s="4" t="s">
        <v>7</v>
      </c>
      <c r="I1" s="4" t="s">
        <v>8</v>
      </c>
      <c r="J1" s="4" t="s">
        <v>9</v>
      </c>
      <c r="K1" s="5" t="s">
        <v>10</v>
      </c>
      <c r="L1" s="5" t="s">
        <v>11</v>
      </c>
      <c r="M1" s="2" t="s">
        <v>12</v>
      </c>
      <c r="N1" s="2" t="s">
        <v>13</v>
      </c>
      <c r="O1" s="5" t="s">
        <v>14</v>
      </c>
      <c r="P1" s="2" t="s">
        <v>15</v>
      </c>
      <c r="Q1" s="6" t="s">
        <v>16</v>
      </c>
      <c r="R1" s="7"/>
      <c r="S1" s="7" t="s">
        <v>17</v>
      </c>
      <c r="T1" s="5" t="s">
        <v>18</v>
      </c>
      <c r="U1" s="2" t="s">
        <v>19</v>
      </c>
      <c r="V1" s="8" t="s">
        <v>20</v>
      </c>
    </row>
    <row r="2" spans="1:22" ht="15.75" x14ac:dyDescent="0.25">
      <c r="A2" s="9" t="s">
        <v>21</v>
      </c>
      <c r="B2" s="9"/>
      <c r="C2" s="9"/>
      <c r="D2" s="9"/>
      <c r="E2" s="9"/>
      <c r="F2" s="9"/>
      <c r="G2" s="9"/>
      <c r="H2" s="9"/>
      <c r="I2" s="9"/>
      <c r="J2" s="9"/>
      <c r="K2" s="9"/>
      <c r="L2" s="9"/>
      <c r="M2" s="9"/>
      <c r="N2" s="9"/>
      <c r="O2" s="9"/>
      <c r="P2" s="9"/>
      <c r="Q2" s="9"/>
      <c r="R2" s="9"/>
      <c r="S2" s="9"/>
      <c r="T2" s="9"/>
      <c r="U2" s="9"/>
      <c r="V2" s="10"/>
    </row>
    <row r="3" spans="1:22" ht="90.75" x14ac:dyDescent="0.25">
      <c r="A3" s="11" t="s">
        <v>22</v>
      </c>
      <c r="B3" s="12" t="s">
        <v>23</v>
      </c>
      <c r="C3" s="13" t="s">
        <v>24</v>
      </c>
      <c r="D3" s="14" t="s">
        <v>25</v>
      </c>
      <c r="E3" s="15" t="s">
        <v>26</v>
      </c>
      <c r="F3" s="15" t="s">
        <v>27</v>
      </c>
      <c r="G3" s="16" t="s">
        <v>28</v>
      </c>
      <c r="H3" s="17" t="s">
        <v>29</v>
      </c>
      <c r="I3" s="18"/>
      <c r="J3" s="19">
        <v>4680000</v>
      </c>
      <c r="K3" s="19">
        <v>2350300</v>
      </c>
      <c r="L3" s="19">
        <v>600000</v>
      </c>
      <c r="M3" s="20" t="s">
        <v>30</v>
      </c>
      <c r="N3" s="18"/>
      <c r="O3" s="21">
        <f>L3/0.112194</f>
        <v>5347879.5657521794</v>
      </c>
      <c r="P3" s="22"/>
      <c r="Q3" s="18"/>
      <c r="R3" s="18"/>
      <c r="S3" s="18"/>
      <c r="T3" s="15" t="s">
        <v>31</v>
      </c>
      <c r="U3" s="23" t="s">
        <v>32</v>
      </c>
      <c r="V3" s="13" t="s">
        <v>33</v>
      </c>
    </row>
    <row r="4" spans="1:22" ht="203.25" x14ac:dyDescent="0.25">
      <c r="A4" s="24" t="s">
        <v>34</v>
      </c>
      <c r="B4" s="25" t="s">
        <v>23</v>
      </c>
      <c r="C4" s="26" t="s">
        <v>35</v>
      </c>
      <c r="D4" s="27" t="s">
        <v>25</v>
      </c>
      <c r="E4" s="28" t="s">
        <v>36</v>
      </c>
      <c r="F4" s="29" t="s">
        <v>37</v>
      </c>
      <c r="G4" s="30" t="s">
        <v>38</v>
      </c>
      <c r="H4" s="31" t="s">
        <v>39</v>
      </c>
      <c r="I4" s="32" t="s">
        <v>40</v>
      </c>
      <c r="J4" s="33">
        <v>696000</v>
      </c>
      <c r="K4" s="34">
        <f>J4*0.6</f>
        <v>417600</v>
      </c>
      <c r="L4" s="34">
        <v>152424</v>
      </c>
      <c r="M4" s="35" t="s">
        <v>30</v>
      </c>
      <c r="N4" s="36"/>
      <c r="O4" s="37">
        <f>L4/0.112194</f>
        <v>1358575.3248836836</v>
      </c>
      <c r="P4" s="38"/>
      <c r="Q4" s="39"/>
      <c r="R4" s="40"/>
      <c r="S4" s="41">
        <v>0</v>
      </c>
      <c r="T4" s="42"/>
      <c r="U4" s="16" t="s">
        <v>41</v>
      </c>
      <c r="V4" s="26" t="s">
        <v>42</v>
      </c>
    </row>
    <row r="5" spans="1:22" ht="225.75" x14ac:dyDescent="0.25">
      <c r="A5" s="25" t="s">
        <v>43</v>
      </c>
      <c r="B5" s="35" t="s">
        <v>23</v>
      </c>
      <c r="C5" s="13" t="s">
        <v>44</v>
      </c>
      <c r="D5" s="43" t="s">
        <v>45</v>
      </c>
      <c r="E5" s="44">
        <v>2016</v>
      </c>
      <c r="F5" s="13" t="s">
        <v>46</v>
      </c>
      <c r="G5" s="13" t="s">
        <v>47</v>
      </c>
      <c r="H5" s="45" t="s">
        <v>48</v>
      </c>
      <c r="I5" s="46" t="s">
        <v>49</v>
      </c>
      <c r="J5" s="47"/>
      <c r="K5" s="48">
        <f>L5/( 0.001 * 365*0.9)</f>
        <v>5806.0821917808216</v>
      </c>
      <c r="L5" s="49">
        <f>O5*0.112194</f>
        <v>1907.298</v>
      </c>
      <c r="M5" s="50" t="s">
        <v>50</v>
      </c>
      <c r="N5" s="18"/>
      <c r="O5" s="34">
        <v>17000</v>
      </c>
      <c r="P5" s="51">
        <v>200750</v>
      </c>
      <c r="Q5" s="15" t="s">
        <v>51</v>
      </c>
      <c r="R5" s="44"/>
      <c r="S5" s="44" t="s">
        <v>52</v>
      </c>
      <c r="T5" s="44"/>
      <c r="U5" s="23" t="s">
        <v>32</v>
      </c>
      <c r="V5" s="13" t="s">
        <v>53</v>
      </c>
    </row>
    <row r="6" spans="1:22" ht="113.25" x14ac:dyDescent="0.25">
      <c r="A6" s="50" t="s">
        <v>54</v>
      </c>
      <c r="B6" s="35" t="s">
        <v>23</v>
      </c>
      <c r="C6" s="13" t="s">
        <v>55</v>
      </c>
      <c r="D6" s="43" t="s">
        <v>45</v>
      </c>
      <c r="E6" s="52">
        <v>43160</v>
      </c>
      <c r="F6" s="53" t="s">
        <v>56</v>
      </c>
      <c r="G6" s="13" t="s">
        <v>57</v>
      </c>
      <c r="H6" s="54"/>
      <c r="I6" s="45" t="s">
        <v>58</v>
      </c>
      <c r="J6" s="47"/>
      <c r="K6" s="48">
        <f>L6/( 0.001 * 365*0.9)</f>
        <v>51230.136986301361</v>
      </c>
      <c r="L6" s="49">
        <f>O6*0.112194</f>
        <v>16829.099999999999</v>
      </c>
      <c r="M6" s="50" t="s">
        <v>50</v>
      </c>
      <c r="N6" s="18" t="s">
        <v>59</v>
      </c>
      <c r="O6" s="55">
        <v>150000</v>
      </c>
      <c r="P6" s="51">
        <v>200000</v>
      </c>
      <c r="Q6" s="13"/>
      <c r="R6" s="44"/>
      <c r="S6" s="44"/>
      <c r="T6" s="56">
        <v>3000</v>
      </c>
      <c r="U6" s="23" t="s">
        <v>41</v>
      </c>
      <c r="V6" s="26" t="s">
        <v>60</v>
      </c>
    </row>
    <row r="7" spans="1:22" ht="90.75" x14ac:dyDescent="0.25">
      <c r="A7" s="50" t="s">
        <v>61</v>
      </c>
      <c r="B7" s="35" t="s">
        <v>23</v>
      </c>
      <c r="C7" s="13" t="s">
        <v>62</v>
      </c>
      <c r="D7" s="43" t="s">
        <v>45</v>
      </c>
      <c r="E7" s="57">
        <v>43070</v>
      </c>
      <c r="F7" s="53" t="s">
        <v>63</v>
      </c>
      <c r="G7" s="13" t="s">
        <v>64</v>
      </c>
      <c r="H7" s="46" t="s">
        <v>65</v>
      </c>
      <c r="I7" s="46" t="s">
        <v>66</v>
      </c>
      <c r="J7" s="47"/>
      <c r="K7" s="34">
        <v>36000</v>
      </c>
      <c r="L7" s="48">
        <f>K7*(0.001*0.9*365)</f>
        <v>11826</v>
      </c>
      <c r="M7" s="58" t="s">
        <v>50</v>
      </c>
      <c r="N7" s="13" t="s">
        <v>67</v>
      </c>
      <c r="O7" s="48">
        <f>L7/0.112194</f>
        <v>105406.70624097546</v>
      </c>
      <c r="P7" s="59"/>
      <c r="Q7" s="44"/>
      <c r="R7" s="60"/>
      <c r="S7" s="15" t="s">
        <v>52</v>
      </c>
      <c r="T7" s="13"/>
      <c r="U7" s="23" t="s">
        <v>41</v>
      </c>
      <c r="V7" s="13" t="s">
        <v>68</v>
      </c>
    </row>
    <row r="8" spans="1:22" ht="135.75" x14ac:dyDescent="0.25">
      <c r="A8" s="61" t="s">
        <v>69</v>
      </c>
      <c r="B8" s="35" t="s">
        <v>23</v>
      </c>
      <c r="C8" s="13" t="s">
        <v>70</v>
      </c>
      <c r="D8" s="43" t="s">
        <v>45</v>
      </c>
      <c r="E8" s="15" t="s">
        <v>71</v>
      </c>
      <c r="F8" s="13" t="s">
        <v>72</v>
      </c>
      <c r="G8" s="62" t="s">
        <v>73</v>
      </c>
      <c r="H8" s="15" t="s">
        <v>74</v>
      </c>
      <c r="I8" s="15" t="s">
        <v>75</v>
      </c>
      <c r="J8" s="63"/>
      <c r="K8" s="37">
        <f>L8/( 0.001 * 365*0.9)</f>
        <v>162058</v>
      </c>
      <c r="L8" s="64">
        <f>O8*0.112194</f>
        <v>53236.053</v>
      </c>
      <c r="M8" s="11" t="s">
        <v>50</v>
      </c>
      <c r="N8" s="65"/>
      <c r="O8" s="19">
        <f>1300*365</f>
        <v>474500</v>
      </c>
      <c r="P8" s="19">
        <v>730000</v>
      </c>
      <c r="Q8" s="13"/>
      <c r="R8" s="13"/>
      <c r="S8" s="13" t="s">
        <v>76</v>
      </c>
      <c r="T8" s="66" t="s">
        <v>77</v>
      </c>
      <c r="U8" s="23" t="s">
        <v>41</v>
      </c>
      <c r="V8" s="26" t="s">
        <v>78</v>
      </c>
    </row>
    <row r="9" spans="1:22" ht="124.5" x14ac:dyDescent="0.25">
      <c r="A9" s="24" t="s">
        <v>79</v>
      </c>
      <c r="B9" s="35" t="s">
        <v>23</v>
      </c>
      <c r="C9" s="13" t="s">
        <v>80</v>
      </c>
      <c r="D9" s="43" t="s">
        <v>45</v>
      </c>
      <c r="E9" s="44">
        <v>2012</v>
      </c>
      <c r="F9" s="53" t="s">
        <v>81</v>
      </c>
      <c r="G9" s="67" t="s">
        <v>82</v>
      </c>
      <c r="H9" s="54" t="s">
        <v>83</v>
      </c>
      <c r="I9" s="68" t="s">
        <v>84</v>
      </c>
      <c r="J9" s="69">
        <v>1205000</v>
      </c>
      <c r="K9" s="34">
        <v>602000</v>
      </c>
      <c r="L9" s="69">
        <v>219584</v>
      </c>
      <c r="M9" s="50" t="s">
        <v>30</v>
      </c>
      <c r="N9" s="18"/>
      <c r="O9" s="48">
        <f>L9/0.112194</f>
        <v>1957181.3109435441</v>
      </c>
      <c r="P9" s="70"/>
      <c r="Q9" s="68" t="s">
        <v>85</v>
      </c>
      <c r="R9" s="71"/>
      <c r="S9" s="71" t="s">
        <v>86</v>
      </c>
      <c r="T9" s="72"/>
      <c r="U9" s="23" t="s">
        <v>32</v>
      </c>
      <c r="V9" s="53" t="s">
        <v>87</v>
      </c>
    </row>
    <row r="10" spans="1:22" ht="158.25" x14ac:dyDescent="0.25">
      <c r="A10" s="24" t="s">
        <v>88</v>
      </c>
      <c r="B10" s="25" t="s">
        <v>23</v>
      </c>
      <c r="C10" s="65" t="s">
        <v>89</v>
      </c>
      <c r="D10" s="73" t="s">
        <v>45</v>
      </c>
      <c r="E10" s="74" t="s">
        <v>90</v>
      </c>
      <c r="F10" s="75" t="s">
        <v>91</v>
      </c>
      <c r="G10" s="76" t="s">
        <v>92</v>
      </c>
      <c r="H10" s="65"/>
      <c r="I10" s="77" t="s">
        <v>93</v>
      </c>
      <c r="J10" s="48">
        <f>K10/0.6</f>
        <v>1297830.1369863013</v>
      </c>
      <c r="K10" s="48">
        <f>L10/(0.001*365*0.9)</f>
        <v>778698.08219178079</v>
      </c>
      <c r="L10" s="48">
        <f>O10*0.112194</f>
        <v>255802.32</v>
      </c>
      <c r="M10" s="78" t="s">
        <v>30</v>
      </c>
      <c r="N10" s="65"/>
      <c r="O10" s="79">
        <f>2000000*1.14</f>
        <v>2280000</v>
      </c>
      <c r="P10" s="80"/>
      <c r="Q10" s="74" t="s">
        <v>94</v>
      </c>
      <c r="R10" s="81"/>
      <c r="S10" s="65"/>
      <c r="T10" s="82" t="s">
        <v>95</v>
      </c>
      <c r="U10" s="23" t="s">
        <v>32</v>
      </c>
      <c r="V10" s="26" t="s">
        <v>96</v>
      </c>
    </row>
    <row r="11" spans="1:22" ht="102" x14ac:dyDescent="0.25">
      <c r="A11" s="24" t="s">
        <v>97</v>
      </c>
      <c r="B11" s="25" t="s">
        <v>23</v>
      </c>
      <c r="C11" s="83" t="s">
        <v>98</v>
      </c>
      <c r="D11" s="84" t="s">
        <v>45</v>
      </c>
      <c r="E11" s="85">
        <v>45063</v>
      </c>
      <c r="F11" s="86" t="s">
        <v>99</v>
      </c>
      <c r="G11" s="87" t="s">
        <v>100</v>
      </c>
      <c r="H11" s="88" t="s">
        <v>101</v>
      </c>
      <c r="I11" s="89"/>
      <c r="J11" s="90"/>
      <c r="K11" s="90"/>
      <c r="L11" s="91">
        <v>78536</v>
      </c>
      <c r="M11" s="92" t="s">
        <v>50</v>
      </c>
      <c r="N11" s="93" t="s">
        <v>102</v>
      </c>
      <c r="O11" s="90"/>
      <c r="P11" s="91">
        <v>700000</v>
      </c>
      <c r="Q11" s="93" t="s">
        <v>103</v>
      </c>
      <c r="R11" s="94"/>
      <c r="S11" s="89"/>
      <c r="T11" s="95" t="s">
        <v>104</v>
      </c>
      <c r="U11" s="23" t="s">
        <v>32</v>
      </c>
      <c r="V11" s="96" t="s">
        <v>105</v>
      </c>
    </row>
    <row r="12" spans="1:22" ht="214.5" x14ac:dyDescent="0.25">
      <c r="A12" s="61" t="s">
        <v>106</v>
      </c>
      <c r="B12" s="35" t="s">
        <v>23</v>
      </c>
      <c r="C12" s="26" t="s">
        <v>107</v>
      </c>
      <c r="D12" s="27" t="s">
        <v>108</v>
      </c>
      <c r="E12" s="25"/>
      <c r="F12" s="97" t="s">
        <v>109</v>
      </c>
      <c r="G12" s="98" t="s">
        <v>110</v>
      </c>
      <c r="H12" s="99" t="s">
        <v>111</v>
      </c>
      <c r="I12" s="99" t="s">
        <v>112</v>
      </c>
      <c r="J12" s="49">
        <f>(K12/6)*10</f>
        <v>65460.730593607295</v>
      </c>
      <c r="K12" s="49">
        <f>L12/( 0.001 * 365*0.9)</f>
        <v>39276.438356164377</v>
      </c>
      <c r="L12" s="49">
        <f>O12*0.112194</f>
        <v>12902.31</v>
      </c>
      <c r="M12" s="100" t="s">
        <v>50</v>
      </c>
      <c r="N12" s="71" t="s">
        <v>113</v>
      </c>
      <c r="O12" s="101">
        <v>115000</v>
      </c>
      <c r="P12" s="102"/>
      <c r="Q12" s="103" t="s">
        <v>114</v>
      </c>
      <c r="R12" s="104"/>
      <c r="S12" s="105"/>
      <c r="T12" s="106" t="s">
        <v>115</v>
      </c>
      <c r="U12" s="23" t="s">
        <v>32</v>
      </c>
      <c r="V12" s="26" t="s">
        <v>116</v>
      </c>
    </row>
    <row r="13" spans="1:22" ht="90.75" x14ac:dyDescent="0.25">
      <c r="A13" s="61" t="s">
        <v>117</v>
      </c>
      <c r="B13" s="35" t="s">
        <v>23</v>
      </c>
      <c r="C13" s="107" t="s">
        <v>118</v>
      </c>
      <c r="D13" s="108" t="s">
        <v>108</v>
      </c>
      <c r="E13" s="109">
        <v>42095</v>
      </c>
      <c r="F13" s="96" t="s">
        <v>119</v>
      </c>
      <c r="G13" s="110" t="s">
        <v>120</v>
      </c>
      <c r="H13" s="45" t="s">
        <v>121</v>
      </c>
      <c r="I13" s="45" t="s">
        <v>122</v>
      </c>
      <c r="J13" s="111"/>
      <c r="K13" s="34">
        <v>34843</v>
      </c>
      <c r="L13" s="49">
        <f>O13*0.112194</f>
        <v>11443.788</v>
      </c>
      <c r="M13" s="112" t="s">
        <v>50</v>
      </c>
      <c r="N13" s="18"/>
      <c r="O13" s="34">
        <v>102000</v>
      </c>
      <c r="P13" s="113">
        <v>182500</v>
      </c>
      <c r="Q13" s="107"/>
      <c r="R13" s="114"/>
      <c r="S13" s="114" t="s">
        <v>52</v>
      </c>
      <c r="T13" s="60" t="s">
        <v>123</v>
      </c>
      <c r="U13" s="23" t="s">
        <v>32</v>
      </c>
      <c r="V13" s="115" t="s">
        <v>124</v>
      </c>
    </row>
    <row r="14" spans="1:22" ht="34.5" x14ac:dyDescent="0.25">
      <c r="A14" s="50" t="s">
        <v>125</v>
      </c>
      <c r="B14" s="11" t="s">
        <v>23</v>
      </c>
      <c r="C14" s="13" t="s">
        <v>107</v>
      </c>
      <c r="D14" s="43" t="s">
        <v>126</v>
      </c>
      <c r="E14" s="116">
        <v>43831</v>
      </c>
      <c r="F14" s="88" t="s">
        <v>127</v>
      </c>
      <c r="G14" s="97" t="s">
        <v>128</v>
      </c>
      <c r="H14" s="88" t="s">
        <v>129</v>
      </c>
      <c r="I14" s="88" t="s">
        <v>130</v>
      </c>
      <c r="J14" s="19">
        <v>171780</v>
      </c>
      <c r="K14" s="19">
        <f>J14*0.55</f>
        <v>94479.000000000015</v>
      </c>
      <c r="L14" s="19">
        <v>34485</v>
      </c>
      <c r="M14" s="117" t="s">
        <v>50</v>
      </c>
      <c r="N14" s="18"/>
      <c r="O14" s="21">
        <f t="shared" ref="O14:O23" si="0">L14/0.112194</f>
        <v>307369.37804160651</v>
      </c>
      <c r="P14" s="70"/>
      <c r="Q14" s="13"/>
      <c r="R14" s="88"/>
      <c r="S14" s="44"/>
      <c r="T14" s="118"/>
      <c r="U14" s="23" t="s">
        <v>41</v>
      </c>
      <c r="V14" s="119" t="s">
        <v>131</v>
      </c>
    </row>
    <row r="15" spans="1:22" ht="34.5" x14ac:dyDescent="0.25">
      <c r="A15" s="120" t="s">
        <v>132</v>
      </c>
      <c r="B15" s="35" t="s">
        <v>23</v>
      </c>
      <c r="C15" s="65" t="s">
        <v>133</v>
      </c>
      <c r="D15" s="73" t="s">
        <v>126</v>
      </c>
      <c r="E15" s="65" t="s">
        <v>134</v>
      </c>
      <c r="F15" s="26" t="s">
        <v>132</v>
      </c>
      <c r="G15" s="15" t="s">
        <v>135</v>
      </c>
      <c r="H15" s="93" t="s">
        <v>136</v>
      </c>
      <c r="I15" s="93" t="s">
        <v>137</v>
      </c>
      <c r="J15" s="49">
        <f>K15/0.6</f>
        <v>365296.80365296802</v>
      </c>
      <c r="K15" s="49">
        <f>L15/( 0.001 * 365*0.9)</f>
        <v>219178.08219178082</v>
      </c>
      <c r="L15" s="19">
        <v>72000</v>
      </c>
      <c r="M15" s="121" t="s">
        <v>30</v>
      </c>
      <c r="N15" s="93" t="s">
        <v>138</v>
      </c>
      <c r="O15" s="21">
        <f t="shared" si="0"/>
        <v>641745.54789026151</v>
      </c>
      <c r="P15" s="80"/>
      <c r="Q15" s="65"/>
      <c r="R15" s="15"/>
      <c r="S15" s="65" t="s">
        <v>139</v>
      </c>
      <c r="T15" s="65"/>
      <c r="U15" s="23" t="s">
        <v>32</v>
      </c>
      <c r="V15" s="29" t="s">
        <v>140</v>
      </c>
    </row>
    <row r="16" spans="1:22" ht="113.25" x14ac:dyDescent="0.25">
      <c r="A16" s="122" t="s">
        <v>141</v>
      </c>
      <c r="B16" s="35" t="s">
        <v>23</v>
      </c>
      <c r="C16" s="13" t="s">
        <v>142</v>
      </c>
      <c r="D16" s="43" t="s">
        <v>143</v>
      </c>
      <c r="E16" s="44" t="s">
        <v>144</v>
      </c>
      <c r="F16" s="53" t="s">
        <v>145</v>
      </c>
      <c r="G16" s="103" t="s">
        <v>146</v>
      </c>
      <c r="H16" s="68"/>
      <c r="I16" s="123" t="s">
        <v>147</v>
      </c>
      <c r="J16" s="64">
        <f>K16/0.6</f>
        <v>405885.33739218669</v>
      </c>
      <c r="K16" s="48">
        <f>80000/(0.001*365*0.9)</f>
        <v>243531.20243531201</v>
      </c>
      <c r="L16" s="34">
        <v>80000</v>
      </c>
      <c r="M16" s="25" t="s">
        <v>30</v>
      </c>
      <c r="N16" s="65"/>
      <c r="O16" s="48">
        <f t="shared" si="0"/>
        <v>713050.60876695719</v>
      </c>
      <c r="P16" s="80"/>
      <c r="Q16" s="16" t="s">
        <v>148</v>
      </c>
      <c r="R16" s="53"/>
      <c r="S16" s="44"/>
      <c r="T16" s="13"/>
      <c r="U16" s="23" t="s">
        <v>41</v>
      </c>
      <c r="V16" s="53" t="s">
        <v>149</v>
      </c>
    </row>
    <row r="17" spans="1:22" ht="180.75" x14ac:dyDescent="0.25">
      <c r="A17" s="25" t="s">
        <v>150</v>
      </c>
      <c r="B17" s="35" t="s">
        <v>23</v>
      </c>
      <c r="C17" s="26" t="s">
        <v>151</v>
      </c>
      <c r="D17" s="124" t="s">
        <v>152</v>
      </c>
      <c r="E17" s="125" t="s">
        <v>153</v>
      </c>
      <c r="F17" s="29" t="s">
        <v>154</v>
      </c>
      <c r="G17" s="103" t="s">
        <v>155</v>
      </c>
      <c r="H17" s="126"/>
      <c r="I17" s="123" t="s">
        <v>156</v>
      </c>
      <c r="J17" s="64">
        <f>K17/0.6</f>
        <v>2685185.1851851852</v>
      </c>
      <c r="K17" s="49">
        <f>L17/( 0.001 * 365*0.9)</f>
        <v>1611111.111111111</v>
      </c>
      <c r="L17" s="127">
        <f>1450*365</f>
        <v>529250</v>
      </c>
      <c r="M17" s="128" t="s">
        <v>30</v>
      </c>
      <c r="N17" s="65" t="s">
        <v>138</v>
      </c>
      <c r="O17" s="48">
        <f t="shared" si="0"/>
        <v>4717275.4336239016</v>
      </c>
      <c r="P17" s="48">
        <f>((2250*60*24*0.65)*(0.001*365*0.9))/0.112194</f>
        <v>6166292.3150970638</v>
      </c>
      <c r="Q17" s="16" t="s">
        <v>157</v>
      </c>
      <c r="R17" s="129"/>
      <c r="S17" s="125"/>
      <c r="T17" s="26"/>
      <c r="U17" s="26"/>
      <c r="V17" s="29" t="s">
        <v>158</v>
      </c>
    </row>
    <row r="18" spans="1:22" ht="102" x14ac:dyDescent="0.25">
      <c r="A18" s="11" t="s">
        <v>159</v>
      </c>
      <c r="B18" s="35" t="s">
        <v>23</v>
      </c>
      <c r="C18" s="18" t="s">
        <v>160</v>
      </c>
      <c r="D18" s="14" t="s">
        <v>152</v>
      </c>
      <c r="E18" s="130">
        <v>43040</v>
      </c>
      <c r="F18" s="13" t="s">
        <v>161</v>
      </c>
      <c r="G18" s="13" t="s">
        <v>162</v>
      </c>
      <c r="H18" s="17" t="s">
        <v>163</v>
      </c>
      <c r="I18" s="15" t="s">
        <v>164</v>
      </c>
      <c r="J18" s="34">
        <v>300000</v>
      </c>
      <c r="K18" s="34">
        <v>215000</v>
      </c>
      <c r="L18" s="34">
        <v>80000</v>
      </c>
      <c r="M18" s="50" t="s">
        <v>30</v>
      </c>
      <c r="N18" s="18"/>
      <c r="O18" s="49">
        <f t="shared" si="0"/>
        <v>713050.60876695719</v>
      </c>
      <c r="P18" s="22"/>
      <c r="Q18" s="15" t="s">
        <v>165</v>
      </c>
      <c r="R18" s="15"/>
      <c r="S18" s="18" t="s">
        <v>166</v>
      </c>
      <c r="T18" s="18"/>
      <c r="U18" s="23" t="s">
        <v>32</v>
      </c>
      <c r="V18" s="13" t="s">
        <v>167</v>
      </c>
    </row>
    <row r="19" spans="1:22" ht="180.75" x14ac:dyDescent="0.25">
      <c r="A19" s="11" t="s">
        <v>168</v>
      </c>
      <c r="B19" s="11" t="s">
        <v>23</v>
      </c>
      <c r="C19" s="18" t="s">
        <v>169</v>
      </c>
      <c r="D19" s="14" t="s">
        <v>152</v>
      </c>
      <c r="E19" s="131" t="s">
        <v>170</v>
      </c>
      <c r="F19" s="88" t="s">
        <v>171</v>
      </c>
      <c r="G19" s="15" t="s">
        <v>172</v>
      </c>
      <c r="H19" s="93" t="s">
        <v>173</v>
      </c>
      <c r="I19" s="93" t="s">
        <v>174</v>
      </c>
      <c r="J19" s="132">
        <v>1152000</v>
      </c>
      <c r="K19" s="21">
        <f>J19*0.6</f>
        <v>691200</v>
      </c>
      <c r="L19" s="21">
        <f>K19*(0.001*365*0.9)</f>
        <v>227059.20000000001</v>
      </c>
      <c r="M19" s="58" t="s">
        <v>30</v>
      </c>
      <c r="N19" s="133" t="s">
        <v>138</v>
      </c>
      <c r="O19" s="21">
        <f t="shared" si="0"/>
        <v>2023808.7598267288</v>
      </c>
      <c r="P19" s="22"/>
      <c r="Q19" s="18"/>
      <c r="R19" s="93"/>
      <c r="S19" s="18"/>
      <c r="T19" s="18"/>
      <c r="U19" s="18"/>
      <c r="V19" s="26" t="s">
        <v>175</v>
      </c>
    </row>
    <row r="20" spans="1:22" ht="169.5" x14ac:dyDescent="0.25">
      <c r="A20" s="24" t="s">
        <v>176</v>
      </c>
      <c r="B20" s="134" t="s">
        <v>23</v>
      </c>
      <c r="C20" s="107" t="s">
        <v>177</v>
      </c>
      <c r="D20" s="135" t="s">
        <v>178</v>
      </c>
      <c r="E20" s="136" t="s">
        <v>179</v>
      </c>
      <c r="F20" s="96" t="s">
        <v>180</v>
      </c>
      <c r="G20" s="30" t="s">
        <v>181</v>
      </c>
      <c r="H20" s="77" t="s">
        <v>182</v>
      </c>
      <c r="I20" s="137" t="s">
        <v>129</v>
      </c>
      <c r="J20" s="51">
        <v>300000</v>
      </c>
      <c r="K20" s="64">
        <f>J20*0.62</f>
        <v>186000</v>
      </c>
      <c r="L20" s="64">
        <f>K20*0.001*365*0.9</f>
        <v>61101</v>
      </c>
      <c r="M20" s="138" t="s">
        <v>30</v>
      </c>
      <c r="N20" s="139" t="s">
        <v>138</v>
      </c>
      <c r="O20" s="90"/>
      <c r="P20" s="37">
        <f>L20/0.112194</f>
        <v>544601.31557837315</v>
      </c>
      <c r="Q20" s="140"/>
      <c r="R20" s="141"/>
      <c r="S20" s="142" t="s">
        <v>52</v>
      </c>
      <c r="T20" s="143"/>
      <c r="U20" s="108" t="s">
        <v>183</v>
      </c>
      <c r="V20" s="26" t="s">
        <v>184</v>
      </c>
    </row>
    <row r="21" spans="1:22" ht="113.25" x14ac:dyDescent="0.25">
      <c r="A21" s="61" t="s">
        <v>185</v>
      </c>
      <c r="B21" s="35" t="s">
        <v>23</v>
      </c>
      <c r="C21" s="107" t="s">
        <v>186</v>
      </c>
      <c r="D21" s="108" t="s">
        <v>187</v>
      </c>
      <c r="E21" s="109" t="s">
        <v>188</v>
      </c>
      <c r="F21" s="103" t="s">
        <v>189</v>
      </c>
      <c r="G21" s="76" t="s">
        <v>190</v>
      </c>
      <c r="H21" s="45" t="s">
        <v>191</v>
      </c>
      <c r="I21" s="45" t="s">
        <v>192</v>
      </c>
      <c r="J21" s="69" t="s">
        <v>193</v>
      </c>
      <c r="K21" s="34" t="s">
        <v>194</v>
      </c>
      <c r="L21" s="69">
        <v>420000</v>
      </c>
      <c r="M21" s="58" t="s">
        <v>30</v>
      </c>
      <c r="N21" s="144" t="s">
        <v>138</v>
      </c>
      <c r="O21" s="64">
        <f t="shared" si="0"/>
        <v>3743515.6960265255</v>
      </c>
      <c r="P21" s="145"/>
      <c r="Q21" s="114"/>
      <c r="R21" s="16"/>
      <c r="S21" s="107"/>
      <c r="T21" s="107"/>
      <c r="U21" s="23" t="s">
        <v>32</v>
      </c>
      <c r="V21" s="107" t="s">
        <v>195</v>
      </c>
    </row>
    <row r="22" spans="1:22" ht="135.75" x14ac:dyDescent="0.25">
      <c r="A22" s="61" t="s">
        <v>196</v>
      </c>
      <c r="B22" s="112" t="s">
        <v>23</v>
      </c>
      <c r="C22" s="89" t="s">
        <v>197</v>
      </c>
      <c r="D22" s="146" t="s">
        <v>198</v>
      </c>
      <c r="E22" s="89">
        <v>2019</v>
      </c>
      <c r="F22" s="107" t="s">
        <v>199</v>
      </c>
      <c r="G22" s="147" t="s">
        <v>200</v>
      </c>
      <c r="H22" s="88" t="s">
        <v>201</v>
      </c>
      <c r="I22" s="88" t="s">
        <v>202</v>
      </c>
      <c r="J22" s="19">
        <f>500*60*24</f>
        <v>720000</v>
      </c>
      <c r="K22" s="21">
        <f>J22*0.6</f>
        <v>432000</v>
      </c>
      <c r="L22" s="21">
        <f>K22*0.001*365*0.9</f>
        <v>141912</v>
      </c>
      <c r="M22" s="92" t="s">
        <v>30</v>
      </c>
      <c r="N22" s="93" t="s">
        <v>52</v>
      </c>
      <c r="O22" s="21">
        <f t="shared" si="0"/>
        <v>1264880.4748917054</v>
      </c>
      <c r="P22" s="90"/>
      <c r="Q22" s="89"/>
      <c r="R22" s="89"/>
      <c r="S22" s="107" t="s">
        <v>203</v>
      </c>
      <c r="T22" s="89"/>
      <c r="U22" s="23" t="s">
        <v>32</v>
      </c>
      <c r="V22" s="107" t="s">
        <v>204</v>
      </c>
    </row>
    <row r="23" spans="1:22" ht="79.5" x14ac:dyDescent="0.25">
      <c r="A23" s="148" t="s">
        <v>205</v>
      </c>
      <c r="B23" s="25" t="s">
        <v>23</v>
      </c>
      <c r="C23" s="65" t="s">
        <v>206</v>
      </c>
      <c r="D23" s="73" t="s">
        <v>207</v>
      </c>
      <c r="E23" s="93" t="s">
        <v>208</v>
      </c>
      <c r="F23" s="26" t="s">
        <v>209</v>
      </c>
      <c r="G23" s="62" t="s">
        <v>210</v>
      </c>
      <c r="H23" s="93" t="s">
        <v>211</v>
      </c>
      <c r="I23" s="93" t="s">
        <v>212</v>
      </c>
      <c r="J23" s="19">
        <v>400000</v>
      </c>
      <c r="K23" s="19">
        <f>J23*0.6</f>
        <v>240000</v>
      </c>
      <c r="L23" s="21">
        <f>K23*0.001*365*0.9</f>
        <v>78840</v>
      </c>
      <c r="M23" s="92" t="s">
        <v>30</v>
      </c>
      <c r="N23" s="65" t="s">
        <v>52</v>
      </c>
      <c r="O23" s="21">
        <f t="shared" si="0"/>
        <v>702711.37493983633</v>
      </c>
      <c r="P23" s="80"/>
      <c r="Q23" s="65"/>
      <c r="R23" s="97"/>
      <c r="S23" s="65"/>
      <c r="T23" s="65"/>
      <c r="U23" s="23" t="s">
        <v>32</v>
      </c>
      <c r="V23" s="26" t="s">
        <v>213</v>
      </c>
    </row>
    <row r="24" spans="1:22" ht="203.25" x14ac:dyDescent="0.25">
      <c r="A24" s="149" t="s">
        <v>214</v>
      </c>
      <c r="B24" s="35" t="s">
        <v>23</v>
      </c>
      <c r="C24" s="89" t="s">
        <v>215</v>
      </c>
      <c r="D24" s="146" t="s">
        <v>207</v>
      </c>
      <c r="E24" s="97" t="s">
        <v>216</v>
      </c>
      <c r="F24" s="93" t="s">
        <v>217</v>
      </c>
      <c r="G24" s="15" t="s">
        <v>218</v>
      </c>
      <c r="H24" s="88" t="s">
        <v>219</v>
      </c>
      <c r="I24" s="88" t="s">
        <v>137</v>
      </c>
      <c r="J24" s="49">
        <f>K24/6*10</f>
        <v>487824.74885844748</v>
      </c>
      <c r="K24" s="49">
        <f>L24/( 0.001 * 365*0.9)</f>
        <v>292694.84931506851</v>
      </c>
      <c r="L24" s="21">
        <f>O24*0.112194</f>
        <v>96150.258000000002</v>
      </c>
      <c r="M24" s="92" t="s">
        <v>30</v>
      </c>
      <c r="N24" s="93" t="s">
        <v>138</v>
      </c>
      <c r="O24" s="101">
        <v>857000</v>
      </c>
      <c r="P24" s="90"/>
      <c r="Q24" s="15" t="s">
        <v>220</v>
      </c>
      <c r="R24" s="97"/>
      <c r="S24" s="89"/>
      <c r="T24" s="89"/>
      <c r="U24" s="107"/>
      <c r="V24" s="96" t="s">
        <v>221</v>
      </c>
    </row>
    <row r="25" spans="1:22" ht="180.75" x14ac:dyDescent="0.25">
      <c r="A25" s="150" t="s">
        <v>222</v>
      </c>
      <c r="B25" s="35" t="s">
        <v>23</v>
      </c>
      <c r="C25" s="107" t="s">
        <v>223</v>
      </c>
      <c r="D25" s="108" t="s">
        <v>224</v>
      </c>
      <c r="E25" s="114" t="s">
        <v>225</v>
      </c>
      <c r="F25" s="96" t="s">
        <v>226</v>
      </c>
      <c r="G25" s="96" t="s">
        <v>227</v>
      </c>
      <c r="H25" s="45" t="s">
        <v>228</v>
      </c>
      <c r="I25" s="45" t="s">
        <v>229</v>
      </c>
      <c r="J25" s="49">
        <f>K25/0.6</f>
        <v>3000000</v>
      </c>
      <c r="K25" s="34">
        <v>1800000</v>
      </c>
      <c r="L25" s="49">
        <f>K25*(0.001*365*0.9)</f>
        <v>591300</v>
      </c>
      <c r="M25" s="150" t="s">
        <v>30</v>
      </c>
      <c r="N25" s="107"/>
      <c r="O25" s="49">
        <f>L25/0.112194</f>
        <v>5270335.3120487723</v>
      </c>
      <c r="P25" s="113"/>
      <c r="Q25" s="151" t="s">
        <v>230</v>
      </c>
      <c r="R25" s="152"/>
      <c r="S25" s="152" t="s">
        <v>52</v>
      </c>
      <c r="T25" s="153" t="s">
        <v>231</v>
      </c>
      <c r="U25" s="107"/>
      <c r="V25" s="26" t="s">
        <v>232</v>
      </c>
    </row>
    <row r="26" spans="1:22" ht="102" x14ac:dyDescent="0.25">
      <c r="A26" s="150" t="s">
        <v>233</v>
      </c>
      <c r="B26" s="112" t="s">
        <v>23</v>
      </c>
      <c r="C26" s="107" t="s">
        <v>234</v>
      </c>
      <c r="D26" s="135" t="s">
        <v>235</v>
      </c>
      <c r="E26" s="154" t="s">
        <v>236</v>
      </c>
      <c r="F26" s="155" t="s">
        <v>237</v>
      </c>
      <c r="G26" s="16" t="s">
        <v>238</v>
      </c>
      <c r="H26" s="156"/>
      <c r="I26" s="45" t="s">
        <v>239</v>
      </c>
      <c r="J26" s="37">
        <f>K26/0.6</f>
        <v>507356.67174023337</v>
      </c>
      <c r="K26" s="37">
        <f>L26/( 0.001 * 365*0.9)</f>
        <v>304414.00304414</v>
      </c>
      <c r="L26" s="34">
        <v>100000</v>
      </c>
      <c r="M26" s="157" t="s">
        <v>30</v>
      </c>
      <c r="N26" s="108" t="s">
        <v>138</v>
      </c>
      <c r="O26" s="37">
        <f>L26/0.112194</f>
        <v>891313.26095869648</v>
      </c>
      <c r="P26" s="158"/>
      <c r="Q26" s="159"/>
      <c r="R26" s="160"/>
      <c r="S26" s="142" t="s">
        <v>52</v>
      </c>
      <c r="T26" s="153"/>
      <c r="U26" s="96" t="s">
        <v>32</v>
      </c>
      <c r="V26" s="96" t="s">
        <v>240</v>
      </c>
    </row>
    <row r="27" spans="1:22" ht="90.75" x14ac:dyDescent="0.25">
      <c r="A27" s="24" t="s">
        <v>241</v>
      </c>
      <c r="B27" s="35" t="s">
        <v>23</v>
      </c>
      <c r="C27" s="13" t="s">
        <v>242</v>
      </c>
      <c r="D27" s="43" t="s">
        <v>243</v>
      </c>
      <c r="E27" s="44">
        <v>2010</v>
      </c>
      <c r="F27" s="53" t="s">
        <v>244</v>
      </c>
      <c r="G27" s="54" t="s">
        <v>245</v>
      </c>
      <c r="H27" s="45" t="s">
        <v>246</v>
      </c>
      <c r="I27" s="15" t="s">
        <v>247</v>
      </c>
      <c r="J27" s="63"/>
      <c r="K27" s="34">
        <v>794000</v>
      </c>
      <c r="L27" s="49">
        <f>K27*0.001*365*0.9</f>
        <v>260829</v>
      </c>
      <c r="M27" s="161" t="s">
        <v>30</v>
      </c>
      <c r="N27" s="18"/>
      <c r="O27" s="49">
        <f>L27/0.112194</f>
        <v>2324803.4654259584</v>
      </c>
      <c r="P27" s="34">
        <v>3101699</v>
      </c>
      <c r="Q27" s="162" t="s">
        <v>248</v>
      </c>
      <c r="R27" s="60"/>
      <c r="S27" s="44" t="s">
        <v>52</v>
      </c>
      <c r="T27" s="44" t="s">
        <v>249</v>
      </c>
      <c r="U27" s="96" t="s">
        <v>32</v>
      </c>
      <c r="V27" s="53" t="s">
        <v>250</v>
      </c>
    </row>
    <row r="28" spans="1:22" ht="338.25" x14ac:dyDescent="0.25">
      <c r="A28" s="61" t="s">
        <v>251</v>
      </c>
      <c r="B28" s="163" t="s">
        <v>23</v>
      </c>
      <c r="C28" s="164" t="s">
        <v>252</v>
      </c>
      <c r="D28" s="165" t="s">
        <v>253</v>
      </c>
      <c r="E28" s="166">
        <v>45071</v>
      </c>
      <c r="F28" s="167" t="s">
        <v>254</v>
      </c>
      <c r="G28" s="167" t="s">
        <v>255</v>
      </c>
      <c r="H28" s="82" t="s">
        <v>256</v>
      </c>
      <c r="I28" s="82" t="s">
        <v>257</v>
      </c>
      <c r="J28" s="168">
        <v>302500</v>
      </c>
      <c r="K28" s="80"/>
      <c r="L28" s="168">
        <v>100000</v>
      </c>
      <c r="M28" s="169" t="s">
        <v>30</v>
      </c>
      <c r="N28" s="65"/>
      <c r="O28" s="80">
        <v>785709</v>
      </c>
      <c r="P28" s="80"/>
      <c r="Q28" s="65"/>
      <c r="R28" s="65"/>
      <c r="S28" s="65"/>
      <c r="T28" s="65"/>
      <c r="U28" s="65"/>
      <c r="V28" s="26" t="s">
        <v>258</v>
      </c>
    </row>
    <row r="29" spans="1:22" ht="57" x14ac:dyDescent="0.25">
      <c r="A29" s="50" t="s">
        <v>259</v>
      </c>
      <c r="B29" s="35" t="s">
        <v>23</v>
      </c>
      <c r="C29" s="13" t="s">
        <v>260</v>
      </c>
      <c r="D29" s="43" t="s">
        <v>261</v>
      </c>
      <c r="E29" s="44" t="s">
        <v>262</v>
      </c>
      <c r="F29" s="13" t="s">
        <v>263</v>
      </c>
      <c r="G29" s="13" t="s">
        <v>264</v>
      </c>
      <c r="H29" s="15" t="s">
        <v>265</v>
      </c>
      <c r="I29" s="15" t="s">
        <v>266</v>
      </c>
      <c r="J29" s="63"/>
      <c r="K29" s="48">
        <f>L29/( 0.001 * 365*0.9)</f>
        <v>867579.90867579903</v>
      </c>
      <c r="L29" s="34">
        <v>285000</v>
      </c>
      <c r="M29" s="50" t="s">
        <v>30</v>
      </c>
      <c r="N29" s="18"/>
      <c r="O29" s="49">
        <f>L29/0.112194</f>
        <v>2540242.793732285</v>
      </c>
      <c r="P29" s="34">
        <v>3250000</v>
      </c>
      <c r="Q29" s="15" t="s">
        <v>267</v>
      </c>
      <c r="R29" s="44"/>
      <c r="S29" s="44" t="s">
        <v>268</v>
      </c>
      <c r="T29" s="44" t="s">
        <v>269</v>
      </c>
      <c r="U29" s="23" t="s">
        <v>32</v>
      </c>
      <c r="V29" s="119" t="s">
        <v>270</v>
      </c>
    </row>
    <row r="30" spans="1:22" ht="57" x14ac:dyDescent="0.25">
      <c r="A30" s="11" t="s">
        <v>271</v>
      </c>
      <c r="B30" s="50" t="s">
        <v>23</v>
      </c>
      <c r="C30" s="107" t="s">
        <v>272</v>
      </c>
      <c r="D30" s="135" t="s">
        <v>261</v>
      </c>
      <c r="E30" s="16" t="s">
        <v>273</v>
      </c>
      <c r="F30" s="16" t="s">
        <v>274</v>
      </c>
      <c r="G30" s="16" t="s">
        <v>275</v>
      </c>
      <c r="H30" s="45" t="s">
        <v>276</v>
      </c>
      <c r="I30" s="45" t="s">
        <v>277</v>
      </c>
      <c r="J30" s="64">
        <f>K30/6*10</f>
        <v>240000</v>
      </c>
      <c r="K30" s="51">
        <f>100*60*24</f>
        <v>144000</v>
      </c>
      <c r="L30" s="64">
        <f>K30*0.001*365*0.9</f>
        <v>47304</v>
      </c>
      <c r="M30" s="161" t="s">
        <v>30</v>
      </c>
      <c r="N30" s="13" t="s">
        <v>278</v>
      </c>
      <c r="O30" s="64">
        <f>L30/0.112194</f>
        <v>421626.82496390183</v>
      </c>
      <c r="P30" s="63"/>
      <c r="Q30" s="13"/>
      <c r="R30" s="170"/>
      <c r="S30" s="13" t="s">
        <v>52</v>
      </c>
      <c r="T30" s="171" t="s">
        <v>279</v>
      </c>
      <c r="U30" s="23" t="s">
        <v>32</v>
      </c>
      <c r="V30" s="53" t="s">
        <v>280</v>
      </c>
    </row>
    <row r="31" spans="1:22" ht="68.25" x14ac:dyDescent="0.25">
      <c r="A31" s="11" t="s">
        <v>281</v>
      </c>
      <c r="B31" s="35" t="s">
        <v>23</v>
      </c>
      <c r="C31" s="13" t="s">
        <v>282</v>
      </c>
      <c r="D31" s="43" t="s">
        <v>283</v>
      </c>
      <c r="E31" s="172" t="s">
        <v>284</v>
      </c>
      <c r="F31" s="53" t="s">
        <v>119</v>
      </c>
      <c r="G31" s="53" t="s">
        <v>285</v>
      </c>
      <c r="H31" s="45" t="s">
        <v>286</v>
      </c>
      <c r="I31" s="45" t="s">
        <v>287</v>
      </c>
      <c r="J31" s="47"/>
      <c r="K31" s="48">
        <f>L31/(0.9*365*0.001)</f>
        <v>24973.325643835615</v>
      </c>
      <c r="L31" s="173">
        <f>P31*0.112194</f>
        <v>8203.7374739999996</v>
      </c>
      <c r="M31" s="50" t="s">
        <v>50</v>
      </c>
      <c r="N31" s="18"/>
      <c r="O31" s="102"/>
      <c r="P31" s="174">
        <v>73121</v>
      </c>
      <c r="Q31" s="68" t="s">
        <v>288</v>
      </c>
      <c r="R31" s="71"/>
      <c r="S31" s="133" t="s">
        <v>289</v>
      </c>
      <c r="T31" s="72"/>
      <c r="U31" s="23" t="s">
        <v>41</v>
      </c>
      <c r="V31" s="175" t="s">
        <v>290</v>
      </c>
    </row>
    <row r="32" spans="1:22" ht="15.75" x14ac:dyDescent="0.25">
      <c r="A32" s="176" t="s">
        <v>291</v>
      </c>
      <c r="B32" s="176"/>
      <c r="C32" s="176"/>
      <c r="D32" s="176"/>
      <c r="E32" s="176"/>
      <c r="F32" s="176"/>
      <c r="G32" s="176"/>
      <c r="H32" s="176"/>
      <c r="I32" s="176"/>
      <c r="J32" s="176"/>
      <c r="K32" s="176"/>
      <c r="L32" s="176"/>
      <c r="M32" s="176"/>
      <c r="N32" s="176"/>
      <c r="O32" s="176"/>
      <c r="P32" s="176"/>
      <c r="Q32" s="176"/>
      <c r="R32" s="176"/>
      <c r="S32" s="176"/>
      <c r="T32" s="176"/>
      <c r="U32" s="176"/>
      <c r="V32" s="176"/>
    </row>
    <row r="33" spans="1:22" ht="158.25" x14ac:dyDescent="0.25">
      <c r="A33" s="177" t="s">
        <v>292</v>
      </c>
      <c r="B33" s="178" t="s">
        <v>293</v>
      </c>
      <c r="C33" s="179" t="s">
        <v>294</v>
      </c>
      <c r="D33" s="180" t="s">
        <v>152</v>
      </c>
      <c r="E33" s="179" t="s">
        <v>295</v>
      </c>
      <c r="F33" s="181" t="s">
        <v>296</v>
      </c>
      <c r="G33" s="182" t="s">
        <v>297</v>
      </c>
      <c r="H33" s="183"/>
      <c r="I33" s="179"/>
      <c r="J33" s="184">
        <f>K33/0.6</f>
        <v>124348.34999999998</v>
      </c>
      <c r="K33" s="185">
        <f>L33/(0.001*365*0.9)</f>
        <v>74609.00999999998</v>
      </c>
      <c r="L33" s="184">
        <f>N33*0.112194</f>
        <v>24509.059784999994</v>
      </c>
      <c r="M33" s="178" t="s">
        <v>298</v>
      </c>
      <c r="N33" s="186">
        <f>O33*0.75</f>
        <v>218452.49999999994</v>
      </c>
      <c r="O33" s="187">
        <f>(700*1.14)*365</f>
        <v>291269.99999999994</v>
      </c>
      <c r="P33" s="188"/>
      <c r="Q33" s="183"/>
      <c r="R33" s="183"/>
      <c r="S33" s="183"/>
      <c r="T33" s="179"/>
      <c r="U33" s="179"/>
      <c r="V33" s="179" t="s">
        <v>299</v>
      </c>
    </row>
    <row r="34" spans="1:22" ht="79.5" x14ac:dyDescent="0.25">
      <c r="A34" s="122" t="s">
        <v>300</v>
      </c>
      <c r="B34" s="50" t="s">
        <v>293</v>
      </c>
      <c r="C34" s="13" t="s">
        <v>301</v>
      </c>
      <c r="D34" s="43" t="s">
        <v>302</v>
      </c>
      <c r="E34" s="189" t="s">
        <v>303</v>
      </c>
      <c r="F34" s="190" t="s">
        <v>304</v>
      </c>
      <c r="G34" s="189" t="s">
        <v>305</v>
      </c>
      <c r="H34" s="191" t="s">
        <v>306</v>
      </c>
      <c r="I34" s="13"/>
      <c r="J34" s="192"/>
      <c r="K34" s="193"/>
      <c r="L34" s="192"/>
      <c r="M34" s="25" t="s">
        <v>298</v>
      </c>
      <c r="N34" s="194"/>
      <c r="O34" s="192"/>
      <c r="P34" s="195"/>
      <c r="Q34" s="183"/>
      <c r="R34" s="183"/>
      <c r="S34" s="183"/>
      <c r="T34" s="13"/>
      <c r="U34" s="13"/>
      <c r="V34" s="196" t="s">
        <v>307</v>
      </c>
    </row>
    <row r="35" spans="1:22" ht="102" x14ac:dyDescent="0.25">
      <c r="A35" s="61" t="s">
        <v>308</v>
      </c>
      <c r="B35" s="50" t="s">
        <v>293</v>
      </c>
      <c r="C35" s="13" t="s">
        <v>309</v>
      </c>
      <c r="D35" s="43" t="s">
        <v>310</v>
      </c>
      <c r="E35" s="189" t="s">
        <v>311</v>
      </c>
      <c r="F35" s="190" t="s">
        <v>312</v>
      </c>
      <c r="G35" s="189" t="s">
        <v>313</v>
      </c>
      <c r="H35" s="191"/>
      <c r="I35" s="13"/>
      <c r="J35" s="192"/>
      <c r="K35" s="193"/>
      <c r="L35" s="192"/>
      <c r="M35" s="197" t="s">
        <v>30</v>
      </c>
      <c r="N35" s="194"/>
      <c r="O35" s="192"/>
      <c r="P35" s="195"/>
      <c r="Q35" s="183"/>
      <c r="R35" s="183"/>
      <c r="S35" s="183"/>
      <c r="T35" s="13"/>
      <c r="U35" s="13"/>
      <c r="V35" s="196" t="s">
        <v>314</v>
      </c>
    </row>
    <row r="36" spans="1:22" ht="248.25" x14ac:dyDescent="0.25">
      <c r="A36" s="24" t="s">
        <v>315</v>
      </c>
      <c r="B36" s="35" t="s">
        <v>293</v>
      </c>
      <c r="C36" s="13" t="s">
        <v>316</v>
      </c>
      <c r="D36" s="43" t="s">
        <v>235</v>
      </c>
      <c r="E36" s="44"/>
      <c r="F36" s="16" t="s">
        <v>317</v>
      </c>
      <c r="G36" s="16" t="s">
        <v>318</v>
      </c>
      <c r="H36" s="15" t="s">
        <v>319</v>
      </c>
      <c r="I36" s="45" t="s">
        <v>320</v>
      </c>
      <c r="J36" s="69">
        <v>1600000</v>
      </c>
      <c r="K36" s="34">
        <v>915000</v>
      </c>
      <c r="L36" s="69">
        <f>J36*365*600/1000000*0.95*0.96</f>
        <v>319564.79999999999</v>
      </c>
      <c r="M36" s="50" t="s">
        <v>321</v>
      </c>
      <c r="N36" s="93" t="s">
        <v>322</v>
      </c>
      <c r="O36" s="80"/>
      <c r="P36" s="69">
        <f>L36/0.125</f>
        <v>2556518.3999999999</v>
      </c>
      <c r="Q36" s="170" t="s">
        <v>323</v>
      </c>
      <c r="R36" s="71"/>
      <c r="S36" s="133" t="s">
        <v>324</v>
      </c>
      <c r="T36" s="198" t="s">
        <v>325</v>
      </c>
      <c r="U36" s="23" t="s">
        <v>41</v>
      </c>
      <c r="V36" s="26" t="s">
        <v>326</v>
      </c>
    </row>
    <row r="37" spans="1:22" ht="113.25" x14ac:dyDescent="0.25">
      <c r="A37" s="61" t="s">
        <v>327</v>
      </c>
      <c r="B37" s="35" t="s">
        <v>293</v>
      </c>
      <c r="C37" s="26" t="s">
        <v>328</v>
      </c>
      <c r="D37" s="124" t="s">
        <v>261</v>
      </c>
      <c r="E37" s="199" t="s">
        <v>329</v>
      </c>
      <c r="F37" s="189" t="s">
        <v>330</v>
      </c>
      <c r="G37" s="189" t="s">
        <v>331</v>
      </c>
      <c r="H37" s="26"/>
      <c r="I37" s="26"/>
      <c r="J37" s="102"/>
      <c r="K37" s="200"/>
      <c r="L37" s="200"/>
      <c r="M37" s="35" t="s">
        <v>298</v>
      </c>
      <c r="N37" s="26"/>
      <c r="O37" s="201"/>
      <c r="P37" s="193"/>
      <c r="Q37" s="26"/>
      <c r="R37" s="202"/>
      <c r="S37" s="125"/>
      <c r="T37" s="125"/>
      <c r="U37" s="26"/>
      <c r="V37" s="203" t="s">
        <v>332</v>
      </c>
    </row>
    <row r="38" spans="1:22" ht="15.75" x14ac:dyDescent="0.25">
      <c r="A38" s="176" t="s">
        <v>333</v>
      </c>
      <c r="B38" s="176"/>
      <c r="C38" s="176"/>
      <c r="D38" s="176"/>
      <c r="E38" s="176"/>
      <c r="F38" s="176"/>
      <c r="G38" s="176"/>
      <c r="H38" s="176"/>
      <c r="I38" s="176"/>
      <c r="J38" s="176"/>
      <c r="K38" s="176"/>
      <c r="L38" s="176"/>
      <c r="M38" s="176"/>
      <c r="N38" s="176"/>
      <c r="O38" s="176"/>
      <c r="P38" s="176"/>
      <c r="Q38" s="176"/>
      <c r="R38" s="176"/>
      <c r="S38" s="176"/>
      <c r="T38" s="176"/>
      <c r="U38" s="176"/>
      <c r="V38" s="176"/>
    </row>
    <row r="39" spans="1:22" ht="57" x14ac:dyDescent="0.25">
      <c r="A39" s="204" t="s">
        <v>334</v>
      </c>
      <c r="B39" s="205" t="s">
        <v>335</v>
      </c>
      <c r="C39" s="206" t="s">
        <v>336</v>
      </c>
      <c r="D39" s="207" t="s">
        <v>337</v>
      </c>
      <c r="E39" s="208" t="s">
        <v>338</v>
      </c>
      <c r="F39" s="209" t="s">
        <v>339</v>
      </c>
      <c r="G39" s="209" t="s">
        <v>340</v>
      </c>
      <c r="H39" s="210"/>
      <c r="I39" s="211" t="s">
        <v>341</v>
      </c>
      <c r="J39" s="212"/>
      <c r="K39" s="212"/>
      <c r="L39" s="212"/>
      <c r="M39" s="213" t="s">
        <v>30</v>
      </c>
      <c r="N39" s="207"/>
      <c r="O39" s="214"/>
      <c r="P39" s="215"/>
      <c r="Q39" s="216" t="s">
        <v>342</v>
      </c>
      <c r="R39" s="217"/>
      <c r="S39" s="217"/>
      <c r="T39" s="218" t="s">
        <v>343</v>
      </c>
      <c r="U39" s="219"/>
      <c r="V39" s="209" t="s">
        <v>344</v>
      </c>
    </row>
    <row r="40" spans="1:22" ht="68.25" x14ac:dyDescent="0.25">
      <c r="A40" s="220" t="s">
        <v>345</v>
      </c>
      <c r="B40" s="221" t="s">
        <v>346</v>
      </c>
      <c r="C40" s="222" t="s">
        <v>347</v>
      </c>
      <c r="D40" s="223" t="s">
        <v>348</v>
      </c>
      <c r="E40" s="224">
        <v>2011</v>
      </c>
      <c r="F40" s="225" t="s">
        <v>349</v>
      </c>
      <c r="G40" s="226" t="s">
        <v>350</v>
      </c>
      <c r="H40" s="227" t="s">
        <v>351</v>
      </c>
      <c r="I40" s="228" t="s">
        <v>65</v>
      </c>
      <c r="J40" s="229"/>
      <c r="K40" s="230">
        <v>20000</v>
      </c>
      <c r="L40" s="231">
        <f>K40*0.001*365*0.9</f>
        <v>6570</v>
      </c>
      <c r="M40" s="232" t="s">
        <v>30</v>
      </c>
      <c r="N40" s="233"/>
      <c r="O40" s="234">
        <f>L40/0.112194</f>
        <v>58559.281244986363</v>
      </c>
      <c r="P40" s="235"/>
      <c r="Q40" s="236" t="s">
        <v>352</v>
      </c>
      <c r="R40" s="237"/>
      <c r="S40" s="224" t="s">
        <v>139</v>
      </c>
      <c r="T40" s="224"/>
      <c r="U40" s="238" t="s">
        <v>41</v>
      </c>
      <c r="V40" s="225" t="s">
        <v>353</v>
      </c>
    </row>
    <row r="41" spans="1:22" ht="57" x14ac:dyDescent="0.25">
      <c r="A41" s="239" t="s">
        <v>354</v>
      </c>
      <c r="B41" s="240" t="s">
        <v>355</v>
      </c>
      <c r="C41" s="241" t="s">
        <v>356</v>
      </c>
      <c r="D41" s="242" t="s">
        <v>45</v>
      </c>
      <c r="E41" s="243" t="s">
        <v>357</v>
      </c>
      <c r="F41" s="241" t="s">
        <v>358</v>
      </c>
      <c r="G41" s="243" t="s">
        <v>359</v>
      </c>
      <c r="H41" s="241" t="s">
        <v>360</v>
      </c>
      <c r="I41" s="241" t="s">
        <v>361</v>
      </c>
      <c r="J41" s="244">
        <v>0</v>
      </c>
      <c r="K41" s="244"/>
      <c r="L41" s="244"/>
      <c r="M41" s="240" t="s">
        <v>362</v>
      </c>
      <c r="N41" s="245"/>
      <c r="O41" s="246"/>
      <c r="P41" s="247"/>
      <c r="Q41" s="233"/>
      <c r="R41" s="248"/>
      <c r="S41" s="249" t="s">
        <v>363</v>
      </c>
      <c r="T41" s="250" t="s">
        <v>364</v>
      </c>
      <c r="U41" s="251"/>
      <c r="V41" s="241" t="s">
        <v>365</v>
      </c>
    </row>
    <row r="42" spans="1:22" ht="147" x14ac:dyDescent="0.25">
      <c r="A42" s="252" t="s">
        <v>366</v>
      </c>
      <c r="B42" s="253" t="s">
        <v>367</v>
      </c>
      <c r="C42" s="254" t="s">
        <v>368</v>
      </c>
      <c r="D42" s="255" t="s">
        <v>207</v>
      </c>
      <c r="E42" s="254"/>
      <c r="F42" s="256" t="s">
        <v>369</v>
      </c>
      <c r="G42" s="222" t="s">
        <v>370</v>
      </c>
      <c r="H42" s="254"/>
      <c r="I42" s="254"/>
      <c r="J42" s="257"/>
      <c r="K42" s="257"/>
      <c r="L42" s="258" t="s">
        <v>371</v>
      </c>
      <c r="M42" s="259" t="s">
        <v>30</v>
      </c>
      <c r="N42" s="256"/>
      <c r="O42" s="260"/>
      <c r="P42" s="261">
        <v>5416341</v>
      </c>
      <c r="Q42" s="254" t="s">
        <v>372</v>
      </c>
      <c r="R42" s="254"/>
      <c r="S42" s="254"/>
      <c r="T42" s="254"/>
      <c r="U42" s="262" t="s">
        <v>32</v>
      </c>
      <c r="V42" s="263" t="s">
        <v>373</v>
      </c>
    </row>
    <row r="43" spans="1:22" ht="90.75" x14ac:dyDescent="0.25">
      <c r="A43" s="264" t="s">
        <v>374</v>
      </c>
      <c r="B43" s="220" t="s">
        <v>367</v>
      </c>
      <c r="C43" s="222" t="s">
        <v>375</v>
      </c>
      <c r="D43" s="223" t="s">
        <v>45</v>
      </c>
      <c r="E43" s="265">
        <v>40634</v>
      </c>
      <c r="F43" s="225"/>
      <c r="G43" s="225"/>
      <c r="H43" s="226"/>
      <c r="I43" s="266" t="s">
        <v>376</v>
      </c>
      <c r="J43" s="229"/>
      <c r="K43" s="267">
        <v>6000000</v>
      </c>
      <c r="L43" s="231">
        <f>K43*0.001*365*0.9</f>
        <v>1971000</v>
      </c>
      <c r="M43" s="232" t="s">
        <v>362</v>
      </c>
      <c r="N43" s="268"/>
      <c r="O43" s="269">
        <f>L43/0.112194</f>
        <v>17567784.37349591</v>
      </c>
      <c r="P43" s="235"/>
      <c r="Q43" s="270" t="s">
        <v>377</v>
      </c>
      <c r="R43" s="266"/>
      <c r="S43" s="266" t="s">
        <v>378</v>
      </c>
      <c r="T43" s="224"/>
      <c r="U43" s="271"/>
      <c r="V43" s="225" t="s">
        <v>379</v>
      </c>
    </row>
    <row r="44" spans="1:22" ht="75" x14ac:dyDescent="0.25">
      <c r="A44" s="264" t="s">
        <v>380</v>
      </c>
      <c r="B44" s="220" t="s">
        <v>381</v>
      </c>
      <c r="C44" s="222" t="s">
        <v>382</v>
      </c>
      <c r="D44" s="223" t="s">
        <v>45</v>
      </c>
      <c r="E44" s="224">
        <v>2012</v>
      </c>
      <c r="F44" s="225" t="s">
        <v>383</v>
      </c>
      <c r="G44" s="225" t="s">
        <v>384</v>
      </c>
      <c r="H44" s="226"/>
      <c r="I44" s="226"/>
      <c r="J44" s="229"/>
      <c r="K44" s="267"/>
      <c r="L44" s="267"/>
      <c r="M44" s="232" t="s">
        <v>385</v>
      </c>
      <c r="N44" s="268"/>
      <c r="O44" s="267"/>
      <c r="P44" s="235"/>
      <c r="Q44" s="270"/>
      <c r="R44" s="268"/>
      <c r="S44" s="268"/>
      <c r="T44" s="224"/>
      <c r="U44" s="271"/>
      <c r="V44" s="272" t="s">
        <v>386</v>
      </c>
    </row>
    <row r="45" spans="1:22" ht="60" x14ac:dyDescent="0.25">
      <c r="A45" s="273" t="s">
        <v>387</v>
      </c>
      <c r="B45" s="220" t="s">
        <v>355</v>
      </c>
      <c r="C45" s="222" t="s">
        <v>388</v>
      </c>
      <c r="D45" s="223" t="s">
        <v>108</v>
      </c>
      <c r="E45" s="224"/>
      <c r="F45" s="222" t="s">
        <v>389</v>
      </c>
      <c r="G45" s="222" t="s">
        <v>390</v>
      </c>
      <c r="H45" s="222"/>
      <c r="I45" s="222"/>
      <c r="J45" s="267"/>
      <c r="K45" s="229"/>
      <c r="L45" s="267"/>
      <c r="M45" s="232" t="s">
        <v>385</v>
      </c>
      <c r="N45" s="268"/>
      <c r="O45" s="229"/>
      <c r="P45" s="235"/>
      <c r="Q45" s="222"/>
      <c r="R45" s="224"/>
      <c r="S45" s="224"/>
      <c r="T45" s="224"/>
      <c r="U45" s="271"/>
      <c r="V45" s="222" t="s">
        <v>391</v>
      </c>
    </row>
    <row r="46" spans="1:22" ht="30" x14ac:dyDescent="0.25">
      <c r="A46" s="264" t="s">
        <v>392</v>
      </c>
      <c r="B46" s="220" t="s">
        <v>355</v>
      </c>
      <c r="C46" s="222" t="s">
        <v>393</v>
      </c>
      <c r="D46" s="223" t="s">
        <v>394</v>
      </c>
      <c r="E46" s="224"/>
      <c r="F46" s="225" t="s">
        <v>395</v>
      </c>
      <c r="G46" s="225" t="s">
        <v>396</v>
      </c>
      <c r="H46" s="226"/>
      <c r="I46" s="226" t="s">
        <v>397</v>
      </c>
      <c r="J46" s="229"/>
      <c r="K46" s="229"/>
      <c r="L46" s="229"/>
      <c r="M46" s="232" t="s">
        <v>385</v>
      </c>
      <c r="N46" s="268"/>
      <c r="O46" s="229"/>
      <c r="P46" s="235"/>
      <c r="Q46" s="274"/>
      <c r="R46" s="268"/>
      <c r="S46" s="268"/>
      <c r="T46" s="275"/>
      <c r="U46" s="271"/>
      <c r="V46" s="276" t="s">
        <v>398</v>
      </c>
    </row>
    <row r="47" spans="1:22" ht="34.5" x14ac:dyDescent="0.25">
      <c r="A47" s="264" t="s">
        <v>399</v>
      </c>
      <c r="B47" s="220" t="s">
        <v>335</v>
      </c>
      <c r="C47" s="222" t="s">
        <v>400</v>
      </c>
      <c r="D47" s="223" t="s">
        <v>198</v>
      </c>
      <c r="E47" s="224">
        <v>2013</v>
      </c>
      <c r="F47" s="225" t="s">
        <v>401</v>
      </c>
      <c r="G47" s="225" t="s">
        <v>402</v>
      </c>
      <c r="H47" s="226" t="s">
        <v>403</v>
      </c>
      <c r="I47" s="226" t="s">
        <v>404</v>
      </c>
      <c r="J47" s="229"/>
      <c r="K47" s="229">
        <f>L47/( 0.001 * 365*0.9)</f>
        <v>58402.356164383542</v>
      </c>
      <c r="L47" s="267">
        <f>O47*0.112194</f>
        <v>19185.173999999995</v>
      </c>
      <c r="M47" s="232" t="s">
        <v>321</v>
      </c>
      <c r="N47" s="268"/>
      <c r="O47" s="267">
        <f>150000*1.14</f>
        <v>170999.99999999997</v>
      </c>
      <c r="P47" s="235"/>
      <c r="Q47" s="274"/>
      <c r="R47" s="268"/>
      <c r="S47" s="268" t="s">
        <v>405</v>
      </c>
      <c r="T47" s="275"/>
      <c r="U47" s="271"/>
      <c r="V47" s="276" t="s">
        <v>406</v>
      </c>
    </row>
    <row r="48" spans="1:22" ht="135.75" x14ac:dyDescent="0.25">
      <c r="A48" s="221" t="s">
        <v>407</v>
      </c>
      <c r="B48" s="220" t="s">
        <v>346</v>
      </c>
      <c r="C48" s="222" t="s">
        <v>408</v>
      </c>
      <c r="D48" s="223" t="s">
        <v>348</v>
      </c>
      <c r="E48" s="224">
        <v>2011</v>
      </c>
      <c r="F48" s="225" t="s">
        <v>409</v>
      </c>
      <c r="G48" s="226" t="s">
        <v>410</v>
      </c>
      <c r="H48" s="226" t="s">
        <v>411</v>
      </c>
      <c r="I48" s="226" t="s">
        <v>412</v>
      </c>
      <c r="J48" s="229"/>
      <c r="K48" s="267">
        <v>550000</v>
      </c>
      <c r="L48" s="231">
        <f>K48*0.001*365*0.9</f>
        <v>180675</v>
      </c>
      <c r="M48" s="232" t="s">
        <v>30</v>
      </c>
      <c r="N48" s="268"/>
      <c r="O48" s="231">
        <f>L48/0.112194</f>
        <v>1610380.2342371249</v>
      </c>
      <c r="P48" s="235"/>
      <c r="Q48" s="266" t="s">
        <v>413</v>
      </c>
      <c r="R48" s="224"/>
      <c r="S48" s="224"/>
      <c r="T48" s="224"/>
      <c r="U48" s="271"/>
      <c r="V48" s="225" t="s">
        <v>414</v>
      </c>
    </row>
    <row r="49" spans="1:22" ht="158.25" x14ac:dyDescent="0.25">
      <c r="A49" s="264" t="s">
        <v>415</v>
      </c>
      <c r="B49" s="220" t="s">
        <v>335</v>
      </c>
      <c r="C49" s="222" t="s">
        <v>416</v>
      </c>
      <c r="D49" s="223" t="s">
        <v>348</v>
      </c>
      <c r="E49" s="224"/>
      <c r="F49" s="225" t="s">
        <v>417</v>
      </c>
      <c r="G49" s="225" t="s">
        <v>418</v>
      </c>
      <c r="H49" s="274"/>
      <c r="I49" s="274" t="s">
        <v>419</v>
      </c>
      <c r="J49" s="229"/>
      <c r="K49" s="269">
        <f>L49/( 0.001 * 365*0.9)</f>
        <v>201949.19999999998</v>
      </c>
      <c r="L49" s="231">
        <f>O49*0.112194</f>
        <v>66340.3122</v>
      </c>
      <c r="M49" s="232" t="s">
        <v>385</v>
      </c>
      <c r="N49" s="268"/>
      <c r="O49" s="267">
        <f>1800*365*0.9</f>
        <v>591300</v>
      </c>
      <c r="P49" s="235"/>
      <c r="Q49" s="225" t="s">
        <v>420</v>
      </c>
      <c r="R49" s="224"/>
      <c r="S49" s="224" t="s">
        <v>421</v>
      </c>
      <c r="T49" s="224"/>
      <c r="U49" s="271"/>
      <c r="V49" s="225" t="s">
        <v>422</v>
      </c>
    </row>
    <row r="50" spans="1:22" ht="79.5" x14ac:dyDescent="0.25">
      <c r="A50" s="61" t="s">
        <v>423</v>
      </c>
      <c r="B50" s="25" t="s">
        <v>335</v>
      </c>
      <c r="C50" s="26" t="s">
        <v>424</v>
      </c>
      <c r="D50" s="124" t="s">
        <v>261</v>
      </c>
      <c r="E50" s="125" t="s">
        <v>425</v>
      </c>
      <c r="F50" s="26"/>
      <c r="G50" s="26" t="s">
        <v>426</v>
      </c>
      <c r="H50" s="15" t="s">
        <v>427</v>
      </c>
      <c r="I50" s="15" t="s">
        <v>428</v>
      </c>
      <c r="J50" s="102"/>
      <c r="K50" s="102"/>
      <c r="L50" s="102"/>
      <c r="M50" s="277" t="s">
        <v>30</v>
      </c>
      <c r="N50" s="26"/>
      <c r="O50" s="201"/>
      <c r="P50" s="193"/>
      <c r="Q50" s="26"/>
      <c r="R50" s="125"/>
      <c r="S50" s="125"/>
      <c r="T50" s="125"/>
      <c r="U50" s="26"/>
      <c r="V50" s="26" t="s">
        <v>429</v>
      </c>
    </row>
    <row r="51" spans="1:22" ht="113.25" x14ac:dyDescent="0.25">
      <c r="A51" s="61" t="s">
        <v>430</v>
      </c>
      <c r="B51" s="50" t="s">
        <v>335</v>
      </c>
      <c r="C51" s="13" t="s">
        <v>431</v>
      </c>
      <c r="D51" s="43" t="s">
        <v>348</v>
      </c>
      <c r="E51" s="44" t="s">
        <v>432</v>
      </c>
      <c r="F51" s="13" t="s">
        <v>433</v>
      </c>
      <c r="G51" s="13" t="s">
        <v>434</v>
      </c>
      <c r="H51" s="15" t="s">
        <v>435</v>
      </c>
      <c r="I51" s="15" t="s">
        <v>436</v>
      </c>
      <c r="J51" s="34">
        <v>600000</v>
      </c>
      <c r="K51" s="63"/>
      <c r="L51" s="49">
        <f>J51*0.001*365*0.9</f>
        <v>197100</v>
      </c>
      <c r="M51" s="11" t="s">
        <v>362</v>
      </c>
      <c r="N51" s="13"/>
      <c r="O51" s="48">
        <f>L51/0.112194</f>
        <v>1756778.4373495909</v>
      </c>
      <c r="P51" s="70"/>
      <c r="Q51" s="13"/>
      <c r="R51" s="44"/>
      <c r="S51" s="44" t="s">
        <v>437</v>
      </c>
      <c r="T51" s="44"/>
      <c r="U51" s="13"/>
      <c r="V51" s="13" t="s">
        <v>438</v>
      </c>
    </row>
    <row r="52" spans="1:22" ht="57" x14ac:dyDescent="0.25">
      <c r="A52" s="24" t="s">
        <v>439</v>
      </c>
      <c r="B52" s="25" t="s">
        <v>335</v>
      </c>
      <c r="C52" s="26" t="s">
        <v>440</v>
      </c>
      <c r="D52" s="27" t="s">
        <v>45</v>
      </c>
      <c r="E52" s="124" t="s">
        <v>425</v>
      </c>
      <c r="F52" s="29" t="s">
        <v>441</v>
      </c>
      <c r="G52" s="29" t="s">
        <v>442</v>
      </c>
      <c r="H52" s="278" t="s">
        <v>443</v>
      </c>
      <c r="I52" s="278" t="s">
        <v>444</v>
      </c>
      <c r="J52" s="279">
        <v>1643000</v>
      </c>
      <c r="K52" s="279">
        <v>1186840</v>
      </c>
      <c r="L52" s="64">
        <f>K52*0.001*365*0.9</f>
        <v>389876.94</v>
      </c>
      <c r="M52" s="35" t="s">
        <v>30</v>
      </c>
      <c r="N52" s="36"/>
      <c r="O52" s="37">
        <f>L52/0.112194</f>
        <v>3475024.8676399807</v>
      </c>
      <c r="P52" s="192"/>
      <c r="Q52" s="280" t="s">
        <v>445</v>
      </c>
      <c r="R52" s="281"/>
      <c r="S52" s="281" t="s">
        <v>446</v>
      </c>
      <c r="T52" s="42"/>
      <c r="U52" s="29" t="s">
        <v>52</v>
      </c>
      <c r="V52" s="282" t="s">
        <v>447</v>
      </c>
    </row>
  </sheetData>
  <mergeCells count="3">
    <mergeCell ref="A2:V2"/>
    <mergeCell ref="A32:V32"/>
    <mergeCell ref="A38:V38"/>
  </mergeCells>
  <dataValidations count="3">
    <dataValidation type="list" allowBlank="1" sqref="N33:N35" xr:uid="{F272A186-5CE2-479C-B94E-6ACB9875082D}">
      <formula1>"Pipeline,Vehicle Fuel,Both,Other,Unknown"</formula1>
    </dataValidation>
    <dataValidation type="list" allowBlank="1" sqref="N21 N23 N37 N10:N12 N50:N51" xr:uid="{D5731309-65DD-4162-BB6A-CC233660807E}">
      <formula1>"Vehicle fuel,Pipeline,Both,Other,Unknown"</formula1>
    </dataValidation>
    <dataValidation type="list" allowBlank="1" sqref="H42" xr:uid="{CD6A462C-1289-4ED2-921B-D937F8DE0CD1}">
      <formula1>"Pipeline,Vehicle Fuel,Both,Unknown,Other"</formula1>
    </dataValidation>
  </dataValidations>
  <hyperlinks>
    <hyperlink ref="V13" r:id="rId1" xr:uid="{D3C58AEC-BBAB-4098-9969-150CAD47D574}"/>
    <hyperlink ref="V14" r:id="rId2" xr:uid="{ABB38005-A184-4B42-967E-FC8635F753B2}"/>
    <hyperlink ref="V29" r:id="rId3" xr:uid="{24A7C607-EA10-4FF5-B35F-2AB5DBAEEE8E}"/>
    <hyperlink ref="V31" r:id="rId4" display="https://biocng.us/wp-content/uploads/2015/06/Janesville-Fact-Sheet-2015.pdf" xr:uid="{3DB51CF1-77F1-403D-96BB-481A57D376A5}"/>
    <hyperlink ref="V44" r:id="rId5" xr:uid="{5F490A0D-01E5-4C58-8F5F-A6F03FBF6394}"/>
    <hyperlink ref="V46" r:id="rId6" xr:uid="{BB052369-689C-4EDC-9844-8F1588EECD46}"/>
    <hyperlink ref="V47" r:id="rId7" xr:uid="{269DCA08-98B2-4820-8347-17088CB3B538}"/>
    <hyperlink ref="V34" r:id="rId8" display="https://www.wsscwater.com/sites/default/files/2023-05/FAQ%20sheets%20updated%2005.01.23.pdf" xr:uid="{C2BD06FF-EC71-4884-8252-65E41B49BC88}"/>
    <hyperlink ref="V35" r:id="rId9" display="https://raleighnc.gov/water-and-sewer/bio-energy-recovery-project" xr:uid="{25596C91-0D58-468B-90F2-41D3EBFF000C}"/>
    <hyperlink ref="V52" r:id="rId10" xr:uid="{0E0972F3-8DE6-4A1C-BE1D-BCB58B2040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WRRFs</vt:lpstr>
    </vt:vector>
  </TitlesOfParts>
  <Company>University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Jesse E</dc:creator>
  <cp:lastModifiedBy>Johnson, Jesse E</cp:lastModifiedBy>
  <dcterms:created xsi:type="dcterms:W3CDTF">2026-07-23T21:31:42Z</dcterms:created>
  <dcterms:modified xsi:type="dcterms:W3CDTF">2026-07-24T18:51:34Z</dcterms:modified>
</cp:coreProperties>
</file>