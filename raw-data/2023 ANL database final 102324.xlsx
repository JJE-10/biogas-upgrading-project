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mmintz\Documents\ANL docs\Clean Cities\RNG\Advisory Team\RNG Database 2023\"/>
    </mc:Choice>
  </mc:AlternateContent>
  <xr:revisionPtr revIDLastSave="0" documentId="13_ncr:1_{56CC6E14-DE90-4F61-9794-ABA84E2EF026}" xr6:coauthVersionLast="47" xr6:coauthVersionMax="47" xr10:uidLastSave="{00000000-0000-0000-0000-000000000000}"/>
  <bookViews>
    <workbookView xWindow="-120" yWindow="-120" windowWidth="29040" windowHeight="15720" firstSheet="1" activeTab="2" xr2:uid="{00000000-000D-0000-FFFF-FFFF00000000}"/>
  </bookViews>
  <sheets>
    <sheet name="OVERVIEW" sheetId="17" r:id="rId1"/>
    <sheet name="Food Waste" sheetId="3" r:id="rId2"/>
    <sheet name="Landfills" sheetId="4" r:id="rId3"/>
    <sheet name="Livestock, agriculture" sheetId="5" r:id="rId4"/>
    <sheet name="WRRFs" sheetId="6" r:id="rId5"/>
    <sheet name="TOTALS" sheetId="8" r:id="rId6"/>
    <sheet name="OPERATIONAL PROJECTS LIST" sheetId="18" r:id="rId7"/>
    <sheet name="List Values" sheetId="7" r:id="rId8"/>
    <sheet name="Reference Notes" sheetId="9" r:id="rId9"/>
  </sheets>
  <externalReferences>
    <externalReference r:id="rId10"/>
  </externalReferences>
  <definedNames>
    <definedName name="_xlnm._FilterDatabase" localSheetId="1" hidden="1">'Food Waste'!$A$7:$AB$51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4" i="4" l="1"/>
  <c r="K106" i="4"/>
  <c r="K104" i="4"/>
  <c r="A314" i="18"/>
  <c r="A313" i="18"/>
  <c r="A312" i="18"/>
  <c r="A311" i="18"/>
  <c r="A315" i="18" s="1"/>
  <c r="A310" i="18"/>
  <c r="P26" i="6"/>
  <c r="S10" i="5"/>
  <c r="S11" i="5"/>
  <c r="P12" i="5"/>
  <c r="O12" i="5" s="1"/>
  <c r="N12" i="5" s="1"/>
  <c r="P13" i="5"/>
  <c r="S13" i="5" s="1"/>
  <c r="T13" i="5" s="1"/>
  <c r="S14" i="5"/>
  <c r="P14" i="5" s="1"/>
  <c r="O14" i="5" s="1"/>
  <c r="N14" i="5" s="1"/>
  <c r="O15" i="5"/>
  <c r="P15" i="5"/>
  <c r="S15" i="5"/>
  <c r="S16" i="5"/>
  <c r="P16" i="5" s="1"/>
  <c r="O16" i="5" s="1"/>
  <c r="N16" i="5" s="1"/>
  <c r="O17" i="5"/>
  <c r="S17" i="5"/>
  <c r="O18" i="5"/>
  <c r="S18" i="5"/>
  <c r="V18" i="5"/>
  <c r="N19" i="5"/>
  <c r="O19" i="5"/>
  <c r="O20" i="5"/>
  <c r="N20" i="5" s="1"/>
  <c r="P21" i="5"/>
  <c r="O21" i="5" s="1"/>
  <c r="N21" i="5" s="1"/>
  <c r="S21" i="5"/>
  <c r="S22" i="5"/>
  <c r="P22" i="5" s="1"/>
  <c r="O22" i="5" s="1"/>
  <c r="N22" i="5" s="1"/>
  <c r="P23" i="5"/>
  <c r="O23" i="5" s="1"/>
  <c r="N23" i="5" s="1"/>
  <c r="S23" i="5"/>
  <c r="S24" i="5"/>
  <c r="P24" i="5" s="1"/>
  <c r="O24" i="5" s="1"/>
  <c r="N24" i="5" s="1"/>
  <c r="O25" i="5"/>
  <c r="P25" i="5" s="1"/>
  <c r="S25" i="5" s="1"/>
  <c r="S26" i="5"/>
  <c r="P26" i="5" s="1"/>
  <c r="O26" i="5" s="1"/>
  <c r="N26" i="5" s="1"/>
  <c r="S27" i="5"/>
  <c r="P27" i="5" s="1"/>
  <c r="O27" i="5" s="1"/>
  <c r="N27" i="5" s="1"/>
  <c r="S28" i="5"/>
  <c r="P28" i="5" s="1"/>
  <c r="O28" i="5" s="1"/>
  <c r="N28" i="5" s="1"/>
  <c r="S29" i="5"/>
  <c r="P29" i="5" s="1"/>
  <c r="O29" i="5" s="1"/>
  <c r="N29" i="5" s="1"/>
  <c r="N30" i="5"/>
  <c r="O30" i="5"/>
  <c r="P30" i="5"/>
  <c r="P31" i="5"/>
  <c r="O31" i="5" s="1"/>
  <c r="N31" i="5" s="1"/>
  <c r="O32" i="5"/>
  <c r="N32" i="5" s="1"/>
  <c r="P32" i="5"/>
  <c r="S32" i="5"/>
  <c r="S33" i="5"/>
  <c r="P33" i="5" s="1"/>
  <c r="O33" i="5" s="1"/>
  <c r="N33" i="5" s="1"/>
  <c r="O34" i="5"/>
  <c r="N34" i="5" s="1"/>
  <c r="P34" i="5"/>
  <c r="S34" i="5"/>
  <c r="S35" i="5"/>
  <c r="P35" i="5" s="1"/>
  <c r="O35" i="5" s="1"/>
  <c r="N35" i="5" s="1"/>
  <c r="O36" i="5"/>
  <c r="N36" i="5" s="1"/>
  <c r="P36" i="5"/>
  <c r="S36" i="5"/>
  <c r="O37" i="5"/>
  <c r="S37" i="5"/>
  <c r="O38" i="5"/>
  <c r="P38" i="5"/>
  <c r="S38" i="5" s="1"/>
  <c r="N39" i="5"/>
  <c r="O39" i="5"/>
  <c r="P39" i="5"/>
  <c r="S39" i="5"/>
  <c r="P40" i="5"/>
  <c r="O40" i="5" s="1"/>
  <c r="N40" i="5" s="1"/>
  <c r="S40" i="5"/>
  <c r="O41" i="5"/>
  <c r="S41" i="5"/>
  <c r="S42" i="5"/>
  <c r="P42" i="5" s="1"/>
  <c r="O42" i="5" s="1"/>
  <c r="N42" i="5" s="1"/>
  <c r="P43" i="5"/>
  <c r="O43" i="5" s="1"/>
  <c r="N43" i="5" s="1"/>
  <c r="O44" i="5"/>
  <c r="P44" i="5" s="1"/>
  <c r="S44" i="5" s="1"/>
  <c r="P45" i="5"/>
  <c r="S45" i="5"/>
  <c r="P46" i="5"/>
  <c r="O46" i="5" s="1"/>
  <c r="N46" i="5" s="1"/>
  <c r="S46" i="5"/>
  <c r="S47" i="5"/>
  <c r="P47" i="5" s="1"/>
  <c r="O47" i="5" s="1"/>
  <c r="N47" i="5" s="1"/>
  <c r="P48" i="5"/>
  <c r="O48" i="5" s="1"/>
  <c r="N48" i="5" s="1"/>
  <c r="S48" i="5"/>
  <c r="O49" i="5"/>
  <c r="S49" i="5"/>
  <c r="P50" i="5"/>
  <c r="O50" i="5" s="1"/>
  <c r="N50" i="5" s="1"/>
  <c r="S50" i="5"/>
  <c r="N51" i="5"/>
  <c r="O51" i="5"/>
  <c r="P51" i="5"/>
  <c r="S51" i="5"/>
  <c r="O52" i="5"/>
  <c r="P52" i="5"/>
  <c r="S52" i="5"/>
  <c r="O53" i="5"/>
  <c r="N53" i="5" s="1"/>
  <c r="P53" i="5"/>
  <c r="S53" i="5"/>
  <c r="S54" i="5"/>
  <c r="P54" i="5" s="1"/>
  <c r="O54" i="5" s="1"/>
  <c r="N54" i="5" s="1"/>
  <c r="O55" i="5"/>
  <c r="N55" i="5" s="1"/>
  <c r="P55" i="5"/>
  <c r="S55" i="5"/>
  <c r="S56" i="5"/>
  <c r="P56" i="5" s="1"/>
  <c r="O56" i="5" s="1"/>
  <c r="N56" i="5" s="1"/>
  <c r="O57" i="5"/>
  <c r="S57" i="5"/>
  <c r="O58" i="5"/>
  <c r="S58" i="5"/>
  <c r="S59" i="5"/>
  <c r="P59" i="5" s="1"/>
  <c r="O59" i="5" s="1"/>
  <c r="N59" i="5" s="1"/>
  <c r="O60" i="5"/>
  <c r="N60" i="5" s="1"/>
  <c r="P60" i="5"/>
  <c r="S60" i="5"/>
  <c r="S61" i="5"/>
  <c r="P61" i="5" s="1"/>
  <c r="O61" i="5" s="1"/>
  <c r="N61" i="5" s="1"/>
  <c r="O62" i="5"/>
  <c r="N62" i="5" s="1"/>
  <c r="P62" i="5"/>
  <c r="S62" i="5"/>
  <c r="P63" i="5"/>
  <c r="O63" i="5" s="1"/>
  <c r="N63" i="5" s="1"/>
  <c r="O64" i="5"/>
  <c r="P64" i="5" s="1"/>
  <c r="S64" i="5" s="1"/>
  <c r="S65" i="5"/>
  <c r="P65" i="5" s="1"/>
  <c r="O65" i="5" s="1"/>
  <c r="N65" i="5" s="1"/>
  <c r="O66" i="5"/>
  <c r="P66" i="5"/>
  <c r="S66" i="5" s="1"/>
  <c r="O67" i="5"/>
  <c r="N67" i="5" s="1"/>
  <c r="P67" i="5"/>
  <c r="S67" i="5"/>
  <c r="P68" i="5"/>
  <c r="O68" i="5" s="1"/>
  <c r="N68" i="5" s="1"/>
  <c r="S68" i="5"/>
  <c r="O69" i="5"/>
  <c r="N69" i="5" s="1"/>
  <c r="P69" i="5"/>
  <c r="S70" i="5"/>
  <c r="P70" i="5" s="1"/>
  <c r="O70" i="5" s="1"/>
  <c r="N70" i="5" s="1"/>
  <c r="O71" i="5"/>
  <c r="S71" i="5"/>
  <c r="O72" i="5"/>
  <c r="S72" i="5"/>
  <c r="S73" i="5"/>
  <c r="P73" i="5" s="1"/>
  <c r="O73" i="5" s="1"/>
  <c r="N73" i="5" s="1"/>
  <c r="P74" i="5"/>
  <c r="O74" i="5" s="1"/>
  <c r="N74" i="5" s="1"/>
  <c r="S74" i="5"/>
  <c r="S75" i="5"/>
  <c r="P75" i="5" s="1"/>
  <c r="O75" i="5" s="1"/>
  <c r="N75" i="5" s="1"/>
  <c r="P76" i="5"/>
  <c r="O76" i="5" s="1"/>
  <c r="N76" i="5" s="1"/>
  <c r="S76" i="5"/>
  <c r="S77" i="5"/>
  <c r="P77" i="5" s="1"/>
  <c r="O77" i="5" s="1"/>
  <c r="N77" i="5" s="1"/>
  <c r="P78" i="5"/>
  <c r="O78" i="5" s="1"/>
  <c r="N78" i="5" s="1"/>
  <c r="S78" i="5"/>
  <c r="S79" i="5"/>
  <c r="P79" i="5" s="1"/>
  <c r="O79" i="5" s="1"/>
  <c r="N79" i="5" s="1"/>
  <c r="P80" i="5"/>
  <c r="O80" i="5" s="1"/>
  <c r="N80" i="5" s="1"/>
  <c r="O81" i="5"/>
  <c r="S81" i="5"/>
  <c r="O82" i="5"/>
  <c r="S82" i="5"/>
  <c r="S83" i="5"/>
  <c r="P83" i="5" s="1"/>
  <c r="O83" i="5" s="1"/>
  <c r="N83" i="5" s="1"/>
  <c r="O84" i="5"/>
  <c r="S84" i="5"/>
  <c r="O85" i="5"/>
  <c r="P85" i="5"/>
  <c r="S85" i="5"/>
  <c r="P86" i="5"/>
  <c r="O86" i="5" s="1"/>
  <c r="N86" i="5" s="1"/>
  <c r="S86" i="5"/>
  <c r="S87" i="5"/>
  <c r="P87" i="5" s="1"/>
  <c r="O87" i="5" s="1"/>
  <c r="N87" i="5" s="1"/>
  <c r="P88" i="5"/>
  <c r="O88" i="5" s="1"/>
  <c r="N88" i="5" s="1"/>
  <c r="S88" i="5"/>
  <c r="S89" i="5"/>
  <c r="P89" i="5" s="1"/>
  <c r="O89" i="5" s="1"/>
  <c r="N89" i="5" s="1"/>
  <c r="O90" i="5"/>
  <c r="P90" i="5"/>
  <c r="S90" i="5"/>
  <c r="S91" i="5"/>
  <c r="S92" i="5"/>
  <c r="P93" i="5"/>
  <c r="O93" i="5" s="1"/>
  <c r="N93" i="5" s="1"/>
  <c r="S93" i="5"/>
  <c r="O94" i="5"/>
  <c r="N94" i="5" s="1"/>
  <c r="P94" i="5"/>
  <c r="S94" i="5"/>
  <c r="P95" i="5"/>
  <c r="O95" i="5" s="1"/>
  <c r="N95" i="5" s="1"/>
  <c r="S95" i="5"/>
  <c r="O96" i="5"/>
  <c r="N96" i="5" s="1"/>
  <c r="P96" i="5"/>
  <c r="S96" i="5"/>
  <c r="S97" i="5"/>
  <c r="S98" i="5"/>
  <c r="P98" i="5" s="1"/>
  <c r="O98" i="5" s="1"/>
  <c r="N98" i="5" s="1"/>
  <c r="O99" i="5"/>
  <c r="P99" i="5" s="1"/>
  <c r="S99" i="5" s="1"/>
  <c r="O100" i="5"/>
  <c r="P100" i="5"/>
  <c r="S100" i="5"/>
  <c r="P104" i="5"/>
  <c r="S104" i="5"/>
  <c r="N105" i="5"/>
  <c r="O105" i="5"/>
  <c r="S105" i="5"/>
  <c r="O106" i="5"/>
  <c r="N106" i="5" s="1"/>
  <c r="S106" i="5"/>
  <c r="N107" i="5"/>
  <c r="O107" i="5" s="1"/>
  <c r="S107" i="5"/>
  <c r="N108" i="5"/>
  <c r="O108" i="5"/>
  <c r="S108" i="5"/>
  <c r="P109" i="5"/>
  <c r="S109" i="5" s="1"/>
  <c r="N110" i="5"/>
  <c r="O110" i="5"/>
  <c r="P110" i="5"/>
  <c r="S110" i="5"/>
  <c r="P111" i="5"/>
  <c r="S111" i="5" s="1"/>
  <c r="N112" i="5"/>
  <c r="O112" i="5"/>
  <c r="S112" i="5"/>
  <c r="P114" i="5"/>
  <c r="O114" i="5" s="1"/>
  <c r="N114" i="5" s="1"/>
  <c r="S114" i="5"/>
  <c r="O115" i="5"/>
  <c r="N115" i="5" s="1"/>
  <c r="S115" i="5"/>
  <c r="O116" i="5"/>
  <c r="P116" i="5" s="1"/>
  <c r="S116" i="5" s="1"/>
  <c r="P117" i="5"/>
  <c r="O117" i="5" s="1"/>
  <c r="O119" i="5"/>
  <c r="N119" i="5" s="1"/>
  <c r="S119" i="5"/>
  <c r="O120" i="5"/>
  <c r="S120" i="5"/>
  <c r="O121" i="5"/>
  <c r="N121" i="5" s="1"/>
  <c r="S121" i="5"/>
  <c r="O123" i="5"/>
  <c r="N123" i="5" s="1"/>
  <c r="S123" i="5"/>
  <c r="N124" i="5"/>
  <c r="O124" i="5"/>
  <c r="S124" i="5"/>
  <c r="O125" i="5"/>
  <c r="S125" i="5"/>
  <c r="O126" i="5"/>
  <c r="N126" i="5" s="1"/>
  <c r="S126" i="5"/>
  <c r="N127" i="5"/>
  <c r="O127" i="5"/>
  <c r="S127" i="5"/>
  <c r="O128" i="5"/>
  <c r="S128" i="5"/>
  <c r="O129" i="5"/>
  <c r="N129" i="5" s="1"/>
  <c r="S129" i="5"/>
  <c r="S130" i="5"/>
  <c r="O131" i="5"/>
  <c r="S131" i="5"/>
  <c r="O132" i="5"/>
  <c r="N132" i="5" s="1"/>
  <c r="S132" i="5"/>
  <c r="N134" i="5"/>
  <c r="P134" i="5"/>
  <c r="S134" i="5"/>
  <c r="O135" i="5"/>
  <c r="N135" i="5" s="1"/>
  <c r="M136" i="5"/>
  <c r="N136" i="5"/>
  <c r="O136" i="5" s="1"/>
  <c r="S136" i="5"/>
  <c r="M137" i="5"/>
  <c r="N137" i="5"/>
  <c r="O137" i="5" s="1"/>
  <c r="S137" i="5"/>
  <c r="M138" i="5"/>
  <c r="N138" i="5"/>
  <c r="O138" i="5" s="1"/>
  <c r="S138" i="5"/>
  <c r="M139" i="5"/>
  <c r="O139" i="5"/>
  <c r="P139" i="5" s="1"/>
  <c r="S139" i="5" s="1"/>
  <c r="M140" i="5"/>
  <c r="O140" i="5"/>
  <c r="P140" i="5" s="1"/>
  <c r="S140" i="5" s="1"/>
  <c r="O141" i="5"/>
  <c r="N141" i="5" s="1"/>
  <c r="S141" i="5"/>
  <c r="O142" i="5"/>
  <c r="N142" i="5" s="1"/>
  <c r="S142" i="5"/>
  <c r="S143" i="5"/>
  <c r="N144" i="5"/>
  <c r="O144" i="5"/>
  <c r="P144" i="5"/>
  <c r="O145" i="5"/>
  <c r="N145" i="5" s="1"/>
  <c r="S145" i="5"/>
  <c r="N146" i="5"/>
  <c r="O146" i="5" s="1"/>
  <c r="P146" i="5" s="1"/>
  <c r="S146" i="5" s="1"/>
  <c r="N147" i="5"/>
  <c r="O147" i="5" s="1"/>
  <c r="S147" i="5"/>
  <c r="O148" i="5"/>
  <c r="P148" i="5"/>
  <c r="S148" i="5" s="1"/>
  <c r="P149" i="5"/>
  <c r="O149" i="5" s="1"/>
  <c r="N149" i="5" s="1"/>
  <c r="P150" i="5"/>
  <c r="S150" i="5" s="1"/>
  <c r="N151" i="5"/>
  <c r="O151" i="5" s="1"/>
  <c r="P151" i="5"/>
  <c r="S151" i="5" s="1"/>
  <c r="T151" i="5"/>
  <c r="O152" i="5"/>
  <c r="N152" i="5" s="1"/>
  <c r="S152" i="5"/>
  <c r="P153" i="5"/>
  <c r="O153" i="5" s="1"/>
  <c r="N153" i="5" s="1"/>
  <c r="O154" i="5"/>
  <c r="N154" i="5" s="1"/>
  <c r="S154" i="5"/>
  <c r="P155" i="5"/>
  <c r="S155" i="5" s="1"/>
  <c r="M156" i="5"/>
  <c r="O156" i="5"/>
  <c r="N156" i="5" s="1"/>
  <c r="S156" i="5"/>
  <c r="O157" i="5"/>
  <c r="N157" i="5" s="1"/>
  <c r="S157" i="5"/>
  <c r="P158" i="5"/>
  <c r="S158" i="5" s="1"/>
  <c r="N159" i="5"/>
  <c r="O159" i="5"/>
  <c r="S159" i="5"/>
  <c r="O160" i="5"/>
  <c r="P160" i="5"/>
  <c r="S160" i="5" s="1"/>
  <c r="N161" i="5"/>
  <c r="O161" i="5"/>
  <c r="P161" i="5" s="1"/>
  <c r="S161" i="5" s="1"/>
  <c r="M163" i="5"/>
  <c r="P163" i="5"/>
  <c r="S163" i="5" s="1"/>
  <c r="M164" i="5"/>
  <c r="M165" i="5"/>
  <c r="O166" i="5"/>
  <c r="P166" i="5"/>
  <c r="T166" i="5" s="1"/>
  <c r="S166" i="5"/>
  <c r="M169" i="5"/>
  <c r="N169" i="5"/>
  <c r="O169" i="5"/>
  <c r="P169" i="5" s="1"/>
  <c r="S169" i="5" s="1"/>
  <c r="M170" i="5"/>
  <c r="N170" i="5"/>
  <c r="O170" i="5" s="1"/>
  <c r="P170" i="5" s="1"/>
  <c r="S170" i="5" s="1"/>
  <c r="M171" i="5"/>
  <c r="N171" i="5"/>
  <c r="O171" i="5"/>
  <c r="P171" i="5"/>
  <c r="S171" i="5"/>
  <c r="M172" i="5"/>
  <c r="N172" i="5"/>
  <c r="O172" i="5" s="1"/>
  <c r="P172" i="5" s="1"/>
  <c r="S172" i="5" s="1"/>
  <c r="O150" i="5" l="1"/>
  <c r="N150" i="5" s="1"/>
  <c r="O111" i="5"/>
  <c r="N111" i="5" s="1"/>
  <c r="O109" i="5"/>
  <c r="N109" i="5" s="1"/>
  <c r="T160" i="5"/>
  <c r="O163" i="5"/>
  <c r="N163" i="5" s="1"/>
  <c r="O158" i="5"/>
  <c r="S149" i="5"/>
  <c r="E33" i="8" l="1"/>
  <c r="B285" i="5"/>
  <c r="O9" i="6" l="1"/>
  <c r="R134" i="4"/>
  <c r="N257" i="5" l="1"/>
  <c r="O257" i="5" s="1"/>
  <c r="P257" i="5" s="1"/>
  <c r="S257" i="5" s="1"/>
  <c r="N255" i="5"/>
  <c r="O255" i="5" s="1"/>
  <c r="P255" i="5" s="1"/>
  <c r="N254" i="5"/>
  <c r="O254" i="5" s="1"/>
  <c r="P254" i="5" s="1"/>
  <c r="N253" i="5"/>
  <c r="O253" i="5" s="1"/>
  <c r="P253" i="5" s="1"/>
  <c r="N251" i="5"/>
  <c r="O251" i="5" s="1"/>
  <c r="P251" i="5" s="1"/>
  <c r="S248" i="5"/>
  <c r="O248" i="5"/>
  <c r="N248" i="5" s="1"/>
  <c r="S247" i="5"/>
  <c r="O247" i="5"/>
  <c r="N247" i="5" s="1"/>
  <c r="S246" i="5"/>
  <c r="O246" i="5"/>
  <c r="N246" i="5" s="1"/>
  <c r="S245" i="5"/>
  <c r="O245" i="5"/>
  <c r="N245" i="5" s="1"/>
  <c r="N242" i="5"/>
  <c r="O242" i="5" s="1"/>
  <c r="P242" i="5" s="1"/>
  <c r="S242" i="5" s="1"/>
  <c r="O241" i="5"/>
  <c r="P241" i="5" s="1"/>
  <c r="S241" i="5" s="1"/>
  <c r="O240" i="5"/>
  <c r="P240" i="5" s="1"/>
  <c r="S240" i="5" s="1"/>
  <c r="P236" i="5"/>
  <c r="O236" i="5" s="1"/>
  <c r="N236" i="5" s="1"/>
  <c r="N235" i="5"/>
  <c r="O235" i="5" s="1"/>
  <c r="P235" i="5" s="1"/>
  <c r="S234" i="5"/>
  <c r="O234" i="5"/>
  <c r="N234" i="5" s="1"/>
  <c r="S233" i="5"/>
  <c r="O233" i="5"/>
  <c r="N233" i="5" s="1"/>
  <c r="S232" i="5"/>
  <c r="O232" i="5"/>
  <c r="N232" i="5" s="1"/>
  <c r="S231" i="5"/>
  <c r="O231" i="5"/>
  <c r="N231" i="5" s="1"/>
  <c r="S230" i="5"/>
  <c r="O230" i="5"/>
  <c r="N230" i="5" s="1"/>
  <c r="S229" i="5"/>
  <c r="O229" i="5"/>
  <c r="N229" i="5" s="1"/>
  <c r="S228" i="5"/>
  <c r="O228" i="5"/>
  <c r="N228" i="5" s="1"/>
  <c r="S227" i="5"/>
  <c r="O227" i="5"/>
  <c r="N227" i="5" s="1"/>
  <c r="S226" i="5"/>
  <c r="O226" i="5"/>
  <c r="N226" i="5" s="1"/>
  <c r="S220" i="5"/>
  <c r="O220" i="5"/>
  <c r="N220" i="5" s="1"/>
  <c r="S219" i="5"/>
  <c r="O219" i="5"/>
  <c r="N219" i="5" s="1"/>
  <c r="V218" i="5"/>
  <c r="P218" i="5"/>
  <c r="O218" i="5" s="1"/>
  <c r="N218" i="5" s="1"/>
  <c r="O217" i="5"/>
  <c r="P217" i="5" s="1"/>
  <c r="S217" i="5" s="1"/>
  <c r="N217" i="5"/>
  <c r="S215" i="5"/>
  <c r="P215" i="5" s="1"/>
  <c r="O215" i="5" s="1"/>
  <c r="N215" i="5" s="1"/>
  <c r="S210" i="5"/>
  <c r="O210" i="5"/>
  <c r="N210" i="5" s="1"/>
  <c r="O209" i="5"/>
  <c r="N209" i="5" s="1"/>
  <c r="P208" i="5"/>
  <c r="S208" i="5" s="1"/>
  <c r="M208" i="5"/>
  <c r="N99" i="4"/>
  <c r="O99" i="4" s="1"/>
  <c r="N100" i="4"/>
  <c r="R120" i="4"/>
  <c r="O208" i="5" l="1"/>
  <c r="N208" i="5" s="1"/>
  <c r="S218" i="5"/>
  <c r="S236" i="5"/>
  <c r="N101" i="4" l="1"/>
  <c r="O101" i="4" s="1"/>
  <c r="R101" i="4" s="1"/>
  <c r="R114" i="4"/>
  <c r="R113" i="4"/>
  <c r="E23" i="8"/>
  <c r="D46" i="8"/>
  <c r="E46" i="8" s="1"/>
  <c r="F22" i="8"/>
  <c r="L37" i="6"/>
  <c r="R117" i="4" l="1"/>
  <c r="B154" i="4"/>
  <c r="C19" i="8" s="1"/>
  <c r="B62" i="6" l="1"/>
  <c r="B61" i="6"/>
  <c r="B286" i="5"/>
  <c r="B55" i="8"/>
  <c r="B153" i="4"/>
  <c r="B55" i="3"/>
  <c r="B18" i="8" s="1"/>
  <c r="B30" i="8" s="1"/>
  <c r="B41" i="8" s="1"/>
  <c r="B44" i="8" l="1"/>
  <c r="B21" i="8"/>
  <c r="B33" i="8" s="1"/>
  <c r="B57" i="8"/>
  <c r="C21" i="8"/>
  <c r="B42" i="8"/>
  <c r="B19" i="8"/>
  <c r="B31" i="8" s="1"/>
  <c r="B43" i="8"/>
  <c r="B20" i="8"/>
  <c r="B56" i="8"/>
  <c r="C20" i="8"/>
  <c r="B56" i="3"/>
  <c r="E20" i="8" l="1"/>
  <c r="B54" i="8"/>
  <c r="B58" i="8" s="1"/>
  <c r="B60" i="8" s="1"/>
  <c r="C18" i="8"/>
  <c r="B45" i="8"/>
  <c r="B69" i="8"/>
  <c r="B32" i="8"/>
  <c r="B22" i="8"/>
  <c r="O205" i="5"/>
  <c r="P205" i="5" s="1"/>
  <c r="S205" i="5" s="1"/>
  <c r="O204" i="5"/>
  <c r="P204" i="5" s="1"/>
  <c r="S204" i="5" s="1"/>
  <c r="O202" i="5"/>
  <c r="P202" i="5" s="1"/>
  <c r="S202" i="5" s="1"/>
  <c r="O201" i="5"/>
  <c r="P201" i="5" s="1"/>
  <c r="S201" i="5" s="1"/>
  <c r="B24" i="8" l="1"/>
  <c r="F74" i="17"/>
  <c r="S50" i="3"/>
  <c r="O50" i="3"/>
  <c r="N50" i="3" s="1"/>
  <c r="L58" i="6" l="1"/>
  <c r="O58" i="6" s="1"/>
  <c r="L57" i="6"/>
  <c r="O57" i="6" s="1"/>
  <c r="O39" i="6"/>
  <c r="N39" i="6" s="1"/>
  <c r="L39" i="6" s="1"/>
  <c r="S177" i="5"/>
  <c r="S176" i="5"/>
  <c r="S175" i="5"/>
  <c r="R44" i="4"/>
  <c r="N44" i="4"/>
  <c r="R121" i="4"/>
  <c r="K22" i="4"/>
  <c r="N18" i="4"/>
  <c r="O18" i="4" s="1"/>
  <c r="R18" i="4" s="1"/>
  <c r="K39" i="6" l="1"/>
  <c r="J39" i="6" s="1"/>
  <c r="K110" i="4"/>
  <c r="O31" i="3"/>
  <c r="N31" i="3" s="1"/>
  <c r="O29" i="3"/>
  <c r="N29" i="3" s="1"/>
  <c r="R54" i="4"/>
  <c r="O75" i="4"/>
  <c r="R75" i="4" s="1"/>
  <c r="N107" i="4"/>
  <c r="O104" i="4"/>
  <c r="R104" i="4" s="1"/>
  <c r="R10" i="4"/>
  <c r="K10" i="4"/>
  <c r="N10" i="4" s="1"/>
  <c r="R118" i="4"/>
  <c r="K118" i="4"/>
  <c r="N118" i="4" s="1"/>
  <c r="N75" i="4" l="1"/>
  <c r="N104" i="4"/>
  <c r="R88" i="4"/>
  <c r="E31" i="8" l="1"/>
  <c r="K26" i="6"/>
  <c r="L26" i="6" s="1"/>
  <c r="O181" i="5"/>
  <c r="P181" i="5" s="1"/>
  <c r="S181" i="5" s="1"/>
  <c r="O182" i="5"/>
  <c r="P182" i="5" s="1"/>
  <c r="S182" i="5" s="1"/>
  <c r="O183" i="5"/>
  <c r="P183" i="5" s="1"/>
  <c r="S183" i="5" s="1"/>
  <c r="O184" i="5"/>
  <c r="P184" i="5" s="1"/>
  <c r="S184" i="5" s="1"/>
  <c r="O185" i="5"/>
  <c r="P185" i="5" s="1"/>
  <c r="S185" i="5" s="1"/>
  <c r="O186" i="5"/>
  <c r="P186" i="5" s="1"/>
  <c r="S186" i="5" s="1"/>
  <c r="O187" i="5"/>
  <c r="P187" i="5" s="1"/>
  <c r="S187" i="5" s="1"/>
  <c r="O188" i="5"/>
  <c r="P188" i="5" s="1"/>
  <c r="S188" i="5" s="1"/>
  <c r="O189" i="5"/>
  <c r="P189" i="5" s="1"/>
  <c r="S189" i="5" s="1"/>
  <c r="O191" i="5"/>
  <c r="P191" i="5" s="1"/>
  <c r="S191" i="5" s="1"/>
  <c r="O192" i="5"/>
  <c r="P192" i="5" s="1"/>
  <c r="S192" i="5" s="1"/>
  <c r="O193" i="5"/>
  <c r="P193" i="5" s="1"/>
  <c r="S193" i="5" s="1"/>
  <c r="O194" i="5"/>
  <c r="P194" i="5" s="1"/>
  <c r="S194" i="5" s="1"/>
  <c r="O195" i="5"/>
  <c r="P195" i="5" s="1"/>
  <c r="S195" i="5" s="1"/>
  <c r="O196" i="5"/>
  <c r="P196" i="5" s="1"/>
  <c r="S196" i="5" s="1"/>
  <c r="O197" i="5"/>
  <c r="P197" i="5" s="1"/>
  <c r="S197" i="5" s="1"/>
  <c r="O198" i="5"/>
  <c r="P198" i="5" s="1"/>
  <c r="S198" i="5" s="1"/>
  <c r="O199" i="5"/>
  <c r="P199" i="5" s="1"/>
  <c r="S199" i="5" s="1"/>
  <c r="O200" i="5"/>
  <c r="P200" i="5" s="1"/>
  <c r="S200" i="5" s="1"/>
  <c r="O180" i="5"/>
  <c r="P180" i="5" s="1"/>
  <c r="S180" i="5" s="1"/>
  <c r="O14" i="3" l="1"/>
  <c r="N41" i="4"/>
  <c r="N46" i="4"/>
  <c r="N88" i="4"/>
  <c r="B34" i="8" l="1"/>
  <c r="S26" i="3"/>
  <c r="P26" i="3" s="1"/>
  <c r="O26" i="3" l="1"/>
  <c r="N26" i="3" s="1"/>
  <c r="N45" i="4" l="1"/>
  <c r="R124" i="4" l="1"/>
  <c r="N124" i="4"/>
  <c r="O45" i="3" l="1"/>
  <c r="N45" i="3" s="1"/>
  <c r="S16" i="3"/>
  <c r="O16" i="3"/>
  <c r="N16" i="3" s="1"/>
  <c r="O14" i="6" l="1"/>
  <c r="O15" i="6"/>
  <c r="O16" i="6"/>
  <c r="O20" i="6"/>
  <c r="O21" i="6"/>
  <c r="O22" i="6"/>
  <c r="O24" i="6"/>
  <c r="O27" i="6"/>
  <c r="O32" i="6"/>
  <c r="O35" i="6"/>
  <c r="O53" i="6"/>
  <c r="O55" i="6"/>
  <c r="V184" i="5"/>
  <c r="V183" i="5"/>
  <c r="V182" i="5"/>
  <c r="V181" i="5"/>
  <c r="V175" i="5"/>
  <c r="N126" i="4" l="1"/>
  <c r="N106" i="4"/>
  <c r="O106" i="4" s="1"/>
  <c r="R106" i="4" s="1"/>
  <c r="N110" i="4" l="1"/>
  <c r="O110" i="4" s="1"/>
  <c r="O69" i="4"/>
  <c r="L23" i="6" l="1"/>
  <c r="O23" i="6" s="1"/>
  <c r="K23" i="6" l="1"/>
  <c r="J23" i="6" s="1"/>
  <c r="N34" i="4"/>
  <c r="O34" i="4" s="1"/>
  <c r="R34" i="4" s="1"/>
  <c r="O126" i="4"/>
  <c r="R110" i="4"/>
  <c r="P23" i="6" l="1"/>
  <c r="O14" i="4" l="1"/>
  <c r="N14" i="4" s="1"/>
  <c r="K14" i="4" s="1"/>
  <c r="O24" i="4"/>
  <c r="N23" i="4" l="1"/>
  <c r="R23" i="4" s="1"/>
  <c r="N22" i="4"/>
  <c r="R22" i="4" s="1"/>
  <c r="O100" i="4" l="1"/>
  <c r="N31" i="4" l="1"/>
  <c r="P10" i="3"/>
  <c r="O10" i="3" s="1"/>
  <c r="R24" i="4" l="1"/>
  <c r="K134" i="4" l="1"/>
  <c r="N134" i="4" s="1"/>
  <c r="N24" i="4" l="1"/>
  <c r="K24" i="4" s="1"/>
  <c r="K51" i="4" l="1"/>
  <c r="K60" i="4" l="1"/>
  <c r="K128" i="4"/>
  <c r="N128" i="4" s="1"/>
  <c r="R128" i="4" l="1"/>
  <c r="S27" i="3" l="1"/>
  <c r="O27" i="3"/>
  <c r="N27" i="3" s="1"/>
  <c r="K35" i="4"/>
  <c r="K39" i="4"/>
  <c r="R14" i="4"/>
  <c r="S28" i="4"/>
  <c r="R30" i="4"/>
  <c r="O38" i="4"/>
  <c r="R38" i="4" s="1"/>
  <c r="O39" i="4"/>
  <c r="S51" i="4"/>
  <c r="N51" i="4"/>
  <c r="O51" i="4" s="1"/>
  <c r="R51" i="4" s="1"/>
  <c r="S53" i="4"/>
  <c r="K59" i="4"/>
  <c r="N59" i="4" s="1"/>
  <c r="O59" i="4" s="1"/>
  <c r="R59" i="4" s="1"/>
  <c r="K57" i="4"/>
  <c r="N57" i="4" s="1"/>
  <c r="O57" i="4" s="1"/>
  <c r="R57" i="4" s="1"/>
  <c r="S58" i="4"/>
  <c r="R58" i="4"/>
  <c r="K61" i="4"/>
  <c r="N61" i="4" s="1"/>
  <c r="O61" i="4" s="1"/>
  <c r="R61" i="4" s="1"/>
  <c r="S62" i="4"/>
  <c r="S68" i="4"/>
  <c r="R68" i="4"/>
  <c r="O70" i="4"/>
  <c r="N70" i="4" s="1"/>
  <c r="O72" i="4"/>
  <c r="R72" i="4" s="1"/>
  <c r="S73" i="4"/>
  <c r="S78" i="4"/>
  <c r="N87" i="4"/>
  <c r="O87" i="4" s="1"/>
  <c r="R87" i="4" s="1"/>
  <c r="O11" i="3"/>
  <c r="N11" i="3" s="1"/>
  <c r="S11" i="3"/>
  <c r="N96" i="4"/>
  <c r="O96" i="4" s="1"/>
  <c r="R96" i="4" s="1"/>
  <c r="K93" i="4"/>
  <c r="N93" i="4" s="1"/>
  <c r="O93" i="4" s="1"/>
  <c r="R93" i="4" s="1"/>
  <c r="N92" i="4"/>
  <c r="K92" i="4" s="1"/>
  <c r="J28" i="6"/>
  <c r="K28" i="6" s="1"/>
  <c r="L28" i="6" s="1"/>
  <c r="O28" i="6" s="1"/>
  <c r="S179" i="5"/>
  <c r="O179" i="5"/>
  <c r="N179" i="5" s="1"/>
  <c r="R127" i="4"/>
  <c r="R49" i="4"/>
  <c r="N49" i="4"/>
  <c r="R144" i="4"/>
  <c r="R17" i="4"/>
  <c r="N17" i="4"/>
  <c r="O112" i="4"/>
  <c r="R112" i="4" s="1"/>
  <c r="K12" i="4"/>
  <c r="N12" i="4" s="1"/>
  <c r="O12" i="4" s="1"/>
  <c r="R12" i="4" s="1"/>
  <c r="E81" i="4"/>
  <c r="O81" i="4"/>
  <c r="N81" i="4" s="1"/>
  <c r="K81" i="4" s="1"/>
  <c r="N119" i="4"/>
  <c r="K119" i="4" s="1"/>
  <c r="O119" i="4"/>
  <c r="R119" i="4" s="1"/>
  <c r="O21" i="4"/>
  <c r="N122" i="4"/>
  <c r="O122" i="4" s="1"/>
  <c r="S122" i="4" s="1"/>
  <c r="N10" i="3"/>
  <c r="N60" i="4"/>
  <c r="O60" i="4" s="1"/>
  <c r="R60" i="4" s="1"/>
  <c r="K65" i="4"/>
  <c r="N26" i="4"/>
  <c r="O26" i="4" s="1"/>
  <c r="R26" i="4" s="1"/>
  <c r="O178" i="5"/>
  <c r="N178" i="5" s="1"/>
  <c r="B58" i="9"/>
  <c r="L55" i="6"/>
  <c r="K55" i="6" s="1"/>
  <c r="L54" i="6"/>
  <c r="O54" i="6" s="1"/>
  <c r="L53" i="6"/>
  <c r="K53" i="6" s="1"/>
  <c r="L49" i="6"/>
  <c r="O49" i="6" s="1"/>
  <c r="K36" i="6"/>
  <c r="L36" i="6" s="1"/>
  <c r="O36" i="6" s="1"/>
  <c r="K32" i="6"/>
  <c r="J32" i="6" s="1"/>
  <c r="K29" i="6"/>
  <c r="L29" i="6" s="1"/>
  <c r="O29" i="6" s="1"/>
  <c r="L16" i="6"/>
  <c r="K16" i="6" s="1"/>
  <c r="J16" i="6" s="1"/>
  <c r="O10" i="6"/>
  <c r="K10" i="6"/>
  <c r="L33" i="6"/>
  <c r="O33" i="6" s="1"/>
  <c r="L42" i="6"/>
  <c r="B68" i="6" s="1"/>
  <c r="C57" i="8" s="1"/>
  <c r="L46" i="6"/>
  <c r="O46" i="6" s="1"/>
  <c r="L31" i="6"/>
  <c r="O31" i="6" s="1"/>
  <c r="J31" i="6"/>
  <c r="L30" i="6"/>
  <c r="K25" i="6"/>
  <c r="L25" i="6" s="1"/>
  <c r="O25" i="6" s="1"/>
  <c r="K22" i="6"/>
  <c r="J22" i="6" s="1"/>
  <c r="K21" i="6"/>
  <c r="J21" i="6" s="1"/>
  <c r="K20" i="6"/>
  <c r="L19" i="6"/>
  <c r="L18" i="6"/>
  <c r="K18" i="6" s="1"/>
  <c r="J18" i="6" s="1"/>
  <c r="L14" i="6"/>
  <c r="K14" i="6" s="1"/>
  <c r="L13" i="6"/>
  <c r="O13" i="6" s="1"/>
  <c r="L12" i="6"/>
  <c r="K12" i="6" s="1"/>
  <c r="L11" i="6"/>
  <c r="J4" i="6"/>
  <c r="P280" i="5"/>
  <c r="S280" i="5" s="1"/>
  <c r="S278" i="5"/>
  <c r="S275" i="5"/>
  <c r="P276" i="5" s="1"/>
  <c r="O276" i="5" s="1"/>
  <c r="S274" i="5"/>
  <c r="P275" i="5" s="1"/>
  <c r="O275" i="5" s="1"/>
  <c r="O273" i="5"/>
  <c r="P273" i="5" s="1"/>
  <c r="M273" i="5"/>
  <c r="P269" i="5"/>
  <c r="S267" i="5" s="1"/>
  <c r="P265" i="5"/>
  <c r="S264" i="5"/>
  <c r="S271" i="5"/>
  <c r="O271" i="5"/>
  <c r="N271" i="5" s="1"/>
  <c r="S272" i="5"/>
  <c r="O272" i="5"/>
  <c r="N272" i="5" s="1"/>
  <c r="S260" i="5"/>
  <c r="P260" i="5" s="1"/>
  <c r="O260" i="5" s="1"/>
  <c r="N260" i="5" s="1"/>
  <c r="S261" i="5"/>
  <c r="P261" i="5" s="1"/>
  <c r="O261" i="5" s="1"/>
  <c r="N261" i="5" s="1"/>
  <c r="P174" i="5"/>
  <c r="R148" i="4"/>
  <c r="N129" i="4"/>
  <c r="O129" i="4" s="1"/>
  <c r="R146" i="4"/>
  <c r="N146" i="4"/>
  <c r="N143" i="4"/>
  <c r="O143" i="4" s="1"/>
  <c r="R139" i="4"/>
  <c r="N139" i="4"/>
  <c r="R138" i="4"/>
  <c r="N138" i="4"/>
  <c r="R137" i="4"/>
  <c r="N137" i="4"/>
  <c r="R130" i="4"/>
  <c r="N85" i="4"/>
  <c r="O85" i="4" s="1"/>
  <c r="R85" i="4" s="1"/>
  <c r="E128" i="4"/>
  <c r="R65" i="4"/>
  <c r="N144" i="4"/>
  <c r="K111" i="4"/>
  <c r="N111" i="4" s="1"/>
  <c r="O111" i="4" s="1"/>
  <c r="O56" i="4"/>
  <c r="N56" i="4" s="1"/>
  <c r="K56" i="4" s="1"/>
  <c r="R108" i="4"/>
  <c r="N108" i="4"/>
  <c r="N105" i="4"/>
  <c r="O105" i="4" s="1"/>
  <c r="R105" i="4" s="1"/>
  <c r="O103" i="4"/>
  <c r="R103" i="4" s="1"/>
  <c r="R102" i="4"/>
  <c r="N102" i="4"/>
  <c r="N97" i="4"/>
  <c r="O97" i="4" s="1"/>
  <c r="R97" i="4" s="1"/>
  <c r="N95" i="4"/>
  <c r="O95" i="4" s="1"/>
  <c r="R95" i="4" s="1"/>
  <c r="N91" i="4"/>
  <c r="O91" i="4" s="1"/>
  <c r="R91" i="4" s="1"/>
  <c r="N90" i="4"/>
  <c r="O90" i="4" s="1"/>
  <c r="R90" i="4" s="1"/>
  <c r="N89" i="4"/>
  <c r="O89" i="4" s="1"/>
  <c r="R89" i="4" s="1"/>
  <c r="R86" i="4"/>
  <c r="N86" i="4"/>
  <c r="O84" i="4"/>
  <c r="R84" i="4" s="1"/>
  <c r="N82" i="4"/>
  <c r="O82" i="4" s="1"/>
  <c r="R82" i="4" s="1"/>
  <c r="O80" i="4"/>
  <c r="R79" i="4"/>
  <c r="N79" i="4"/>
  <c r="N78" i="4"/>
  <c r="O78" i="4" s="1"/>
  <c r="R78" i="4" s="1"/>
  <c r="R77" i="4"/>
  <c r="N77" i="4"/>
  <c r="N76" i="4"/>
  <c r="O76" i="4" s="1"/>
  <c r="R76" i="4" s="1"/>
  <c r="N74" i="4"/>
  <c r="O74" i="4" s="1"/>
  <c r="R74" i="4" s="1"/>
  <c r="R73" i="4"/>
  <c r="N73" i="4"/>
  <c r="N68" i="4"/>
  <c r="N67" i="4"/>
  <c r="O67" i="4" s="1"/>
  <c r="R67" i="4" s="1"/>
  <c r="N66" i="4"/>
  <c r="O66" i="4" s="1"/>
  <c r="R66" i="4" s="1"/>
  <c r="N64" i="4"/>
  <c r="O64" i="4" s="1"/>
  <c r="R64" i="4" s="1"/>
  <c r="N63" i="4"/>
  <c r="O63" i="4" s="1"/>
  <c r="R63" i="4" s="1"/>
  <c r="N62" i="4"/>
  <c r="O62" i="4" s="1"/>
  <c r="R62" i="4" s="1"/>
  <c r="N58" i="4"/>
  <c r="N55" i="4"/>
  <c r="O55" i="4" s="1"/>
  <c r="R55" i="4" s="1"/>
  <c r="O52" i="4"/>
  <c r="R52" i="4" s="1"/>
  <c r="R50" i="4"/>
  <c r="N48" i="4"/>
  <c r="O48" i="4" s="1"/>
  <c r="R48" i="4" s="1"/>
  <c r="N47" i="4"/>
  <c r="O47" i="4" s="1"/>
  <c r="R47" i="4" s="1"/>
  <c r="R46" i="4"/>
  <c r="N43" i="4"/>
  <c r="O43" i="4" s="1"/>
  <c r="R42" i="4"/>
  <c r="R37" i="4"/>
  <c r="N37" i="4"/>
  <c r="R36" i="4"/>
  <c r="N36" i="4"/>
  <c r="O36" i="4" s="1"/>
  <c r="R35" i="4"/>
  <c r="N33" i="4"/>
  <c r="O33" i="4" s="1"/>
  <c r="R33" i="4" s="1"/>
  <c r="R31" i="4"/>
  <c r="N30" i="4"/>
  <c r="R29" i="4"/>
  <c r="N29" i="4"/>
  <c r="K29" i="4" s="1"/>
  <c r="R28" i="4"/>
  <c r="N28" i="4"/>
  <c r="K28" i="4" s="1"/>
  <c r="R25" i="4"/>
  <c r="O19" i="4"/>
  <c r="N19" i="4"/>
  <c r="R20" i="4"/>
  <c r="N20" i="4"/>
  <c r="R16" i="4"/>
  <c r="N13" i="4"/>
  <c r="O13" i="4" s="1"/>
  <c r="R13" i="4" s="1"/>
  <c r="O11" i="4"/>
  <c r="R9" i="4"/>
  <c r="N9" i="4"/>
  <c r="P51" i="3"/>
  <c r="S51" i="3" s="1"/>
  <c r="O43" i="3"/>
  <c r="N43" i="3" s="1"/>
  <c r="S42" i="3"/>
  <c r="P42" i="3" s="1"/>
  <c r="O42" i="3" s="1"/>
  <c r="O41" i="3"/>
  <c r="P41" i="3" s="1"/>
  <c r="P39" i="3"/>
  <c r="S39" i="3" s="1"/>
  <c r="N39" i="3"/>
  <c r="P37" i="3"/>
  <c r="S37" i="3" s="1"/>
  <c r="P36" i="3"/>
  <c r="O36" i="3" s="1"/>
  <c r="N36" i="3" s="1"/>
  <c r="P35" i="3"/>
  <c r="S35" i="3" s="1"/>
  <c r="N35" i="3"/>
  <c r="S34" i="3"/>
  <c r="O34" i="3"/>
  <c r="N34" i="3" s="1"/>
  <c r="P28" i="3"/>
  <c r="O38" i="3"/>
  <c r="P38" i="3" s="1"/>
  <c r="S38" i="3" s="1"/>
  <c r="S15" i="3"/>
  <c r="O15" i="3"/>
  <c r="N15" i="3" s="1"/>
  <c r="T21" i="3"/>
  <c r="O21" i="3"/>
  <c r="P21" i="3" s="1"/>
  <c r="S21" i="3" s="1"/>
  <c r="P20" i="3"/>
  <c r="N20" i="3"/>
  <c r="P19" i="3"/>
  <c r="N18" i="3"/>
  <c r="S17" i="3"/>
  <c r="P17" i="3" s="1"/>
  <c r="O17" i="3" s="1"/>
  <c r="N17" i="3" s="1"/>
  <c r="P13" i="3"/>
  <c r="V10" i="3"/>
  <c r="O9" i="3"/>
  <c r="P9" i="3" s="1"/>
  <c r="B62" i="3" l="1"/>
  <c r="C54" i="8" s="1"/>
  <c r="D54" i="8" s="1"/>
  <c r="E54" i="8" s="1"/>
  <c r="B160" i="4"/>
  <c r="C55" i="8" s="1"/>
  <c r="D55" i="8" s="1"/>
  <c r="E55" i="8" s="1"/>
  <c r="B292" i="5"/>
  <c r="C56" i="8" s="1"/>
  <c r="F33" i="8"/>
  <c r="F34" i="8" s="1"/>
  <c r="S9" i="3"/>
  <c r="B61" i="3"/>
  <c r="R111" i="4"/>
  <c r="P42" i="6"/>
  <c r="D57" i="8"/>
  <c r="E57" i="8" s="1"/>
  <c r="O174" i="5"/>
  <c r="N174" i="5" s="1"/>
  <c r="K11" i="6"/>
  <c r="N38" i="4"/>
  <c r="S81" i="4"/>
  <c r="J36" i="6"/>
  <c r="K35" i="6"/>
  <c r="R70" i="4"/>
  <c r="O92" i="4"/>
  <c r="R92" i="4" s="1"/>
  <c r="S28" i="3"/>
  <c r="S13" i="3"/>
  <c r="R21" i="4"/>
  <c r="N21" i="4"/>
  <c r="K21" i="4" s="1"/>
  <c r="B291" i="5"/>
  <c r="N69" i="4"/>
  <c r="R69" i="4"/>
  <c r="N80" i="4"/>
  <c r="R80" i="4"/>
  <c r="R43" i="4"/>
  <c r="O28" i="3"/>
  <c r="N28" i="3" s="1"/>
  <c r="S19" i="3"/>
  <c r="O19" i="3"/>
  <c r="N19" i="3" s="1"/>
  <c r="S20" i="3"/>
  <c r="C22" i="8"/>
  <c r="C24" i="8" s="1"/>
  <c r="N11" i="4"/>
  <c r="N72" i="4"/>
  <c r="N84" i="4"/>
  <c r="S174" i="5"/>
  <c r="K30" i="6"/>
  <c r="J30" i="6" s="1"/>
  <c r="E21" i="8"/>
  <c r="G20" i="8"/>
  <c r="B159" i="4" l="1"/>
  <c r="G21" i="8"/>
  <c r="C41" i="8"/>
  <c r="D41" i="8" s="1"/>
  <c r="C58" i="8"/>
  <c r="D56" i="8"/>
  <c r="C43" i="8"/>
  <c r="F43" i="8" s="1"/>
  <c r="E34" i="8"/>
  <c r="E18" i="8"/>
  <c r="C34" i="8"/>
  <c r="G18" i="8" l="1"/>
  <c r="C60" i="8"/>
  <c r="L76" i="17" s="1"/>
  <c r="F76" i="17"/>
  <c r="C42" i="8"/>
  <c r="E56" i="8"/>
  <c r="D58" i="8"/>
  <c r="H76" i="17" s="1"/>
  <c r="D24" i="8"/>
  <c r="D43" i="8"/>
  <c r="E43" i="8" s="1"/>
  <c r="F41" i="8"/>
  <c r="G41" i="8"/>
  <c r="H41" i="8" s="1"/>
  <c r="E41" i="8"/>
  <c r="D60" i="8" l="1"/>
  <c r="E58" i="8"/>
  <c r="G43" i="8"/>
  <c r="H43" i="8" s="1"/>
  <c r="E60" i="8" l="1"/>
  <c r="J76" i="17"/>
  <c r="B67" i="6"/>
  <c r="C44" i="8" s="1"/>
  <c r="F44" i="8" s="1"/>
  <c r="K37" i="6"/>
  <c r="D44" i="8" l="1"/>
  <c r="G44" i="8" s="1"/>
  <c r="H44" i="8" s="1"/>
  <c r="E44" i="8" l="1"/>
  <c r="B47" i="8" l="1"/>
  <c r="D22" i="8"/>
  <c r="C45" i="8"/>
  <c r="F75" i="17" s="1"/>
  <c r="D34" i="8"/>
  <c r="E19" i="8"/>
  <c r="G19" i="8" l="1"/>
  <c r="E22" i="8"/>
  <c r="F73" i="17" s="1"/>
  <c r="F42" i="8"/>
  <c r="D42" i="8"/>
  <c r="E42" i="8" s="1"/>
  <c r="C47" i="8"/>
  <c r="L75" i="17" s="1"/>
  <c r="F45" i="8"/>
  <c r="F47" i="8" s="1"/>
  <c r="E24" i="8" l="1"/>
  <c r="G22" i="8"/>
  <c r="D45" i="8"/>
  <c r="G42" i="8"/>
  <c r="H42" i="8" s="1"/>
  <c r="D47" i="8" l="1"/>
  <c r="H75" i="17"/>
  <c r="G45" i="8"/>
  <c r="H45" i="8" s="1"/>
  <c r="H47" i="8" s="1"/>
  <c r="E45" i="8"/>
  <c r="E47" i="8" l="1"/>
  <c r="J75" i="17"/>
  <c r="G4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tc={DB68A10F-2DF5-4FD4-ABF1-FE5BD5C668F8}</author>
  </authors>
  <commentList>
    <comment ref="B96" authorId="0" shapeId="0" xr:uid="{00000000-0006-0000-0400-000004000000}">
      <text>
        <t>[Threaded comment]
Your version of Excel allows you to read this threaded comment; however, any edits to it will get removed if the file is opened in a newer version of Excel. Learn more: https://go.microsoft.com/fwlink/?linkid=870924
Comment:
    I don't know if you're saving it for later, but please remember to move projects that have changed status to the appropriate section of the worksheet</t>
      </text>
    </comment>
  </commentList>
</comments>
</file>

<file path=xl/sharedStrings.xml><?xml version="1.0" encoding="utf-8"?>
<sst xmlns="http://schemas.openxmlformats.org/spreadsheetml/2006/main" count="7757" uniqueCount="3188">
  <si>
    <t>No</t>
  </si>
  <si>
    <t>KEY:</t>
  </si>
  <si>
    <t xml:space="preserve">Information provided or confirmed by contact </t>
  </si>
  <si>
    <t>Individual values are often drawn from different sources, and so may appear inconsistent-- e.g., gas going for upgrading may be more than total amount of gas collected</t>
  </si>
  <si>
    <t>Value calculated based on other info provided</t>
  </si>
  <si>
    <t>Value from press/website</t>
  </si>
  <si>
    <t xml:space="preserve">PROJECT INFORMATION </t>
  </si>
  <si>
    <t>INPUTS</t>
  </si>
  <si>
    <t>OUTPUTS</t>
  </si>
  <si>
    <t xml:space="preserve">ADDITIONAL INFORMATION </t>
  </si>
  <si>
    <t>Waste Conversion Facility Name</t>
  </si>
  <si>
    <t>Facility Owner</t>
  </si>
  <si>
    <t>Facility County</t>
  </si>
  <si>
    <t>State</t>
  </si>
  <si>
    <t>Project Start Date</t>
  </si>
  <si>
    <t>Project Description</t>
  </si>
  <si>
    <t>Digester Type</t>
  </si>
  <si>
    <t>Amount of Waste Delivered</t>
  </si>
  <si>
    <t xml:space="preserve">Capacity (tons per day) </t>
  </si>
  <si>
    <t>Waste Type</t>
  </si>
  <si>
    <t>Waste Provider</t>
  </si>
  <si>
    <t>Raw Biogas Produced, SCFD</t>
  </si>
  <si>
    <t>Upgraded SCFD</t>
  </si>
  <si>
    <t>Upgraded MMBTU/yr.</t>
  </si>
  <si>
    <t>Upgraded Fuel Type Produced</t>
  </si>
  <si>
    <t xml:space="preserve"> GGE/yr.</t>
  </si>
  <si>
    <t>Capacity (GGE/yr.)</t>
  </si>
  <si>
    <t xml:space="preserve">Electricity Produced </t>
  </si>
  <si>
    <t xml:space="preserve">Annual CO2 Emissions Eliminated </t>
  </si>
  <si>
    <t>N/A</t>
  </si>
  <si>
    <t>Yes</t>
  </si>
  <si>
    <t>http://www.americanbiogascouncil.org/projectprofiles/southsanfranciscoca.pdf     http://zerowasteenergy.com/our-projects/blue-line-biogenic-cng-facility/   https://www.biocycle.net/2016/07/14/biogas-fleet-fuel-south-san-francisco/
https://energy-vision.org/wp-content/uploads/2016/01/South-SF-Scavenger-BlueLine-Profile.pdf 
https://www.biocycle.net/second-food-scraps-to-rng-project-certified-under-california-lcfs-greet-3-0/
https://www.greencarcongress.com/2021/03/20210309-ssfsc.html</t>
  </si>
  <si>
    <t>Blue Line Biogenic CNG Facility</t>
  </si>
  <si>
    <t>OPERATIONAL</t>
  </si>
  <si>
    <t>San Francisco</t>
  </si>
  <si>
    <t>CA</t>
  </si>
  <si>
    <t>Blue Line Transfer, Inc.; Zero Waste Energy, LLC; South San Francisco Scavenger Co.</t>
  </si>
  <si>
    <t xml:space="preserve">Converts food and green waste into CNG fuel for 27 vehicles, during the weekdays they use a mix of CNG and NG, on the weekends when they have more fill time they use all CNG. Appears to be activated carbon upgrading system. </t>
  </si>
  <si>
    <t>8 dry anaerobic digesters, thermophilic</t>
  </si>
  <si>
    <t>11,200 tons/yr.</t>
  </si>
  <si>
    <t>11200 tons/year</t>
  </si>
  <si>
    <t>Commercial and residential organics</t>
  </si>
  <si>
    <t>Customer base</t>
  </si>
  <si>
    <t>VEHICLE FUEL (LOCAL)</t>
  </si>
  <si>
    <t xml:space="preserve">Private </t>
  </si>
  <si>
    <t>http://biomassmagazine.com/articles/10641/crr-breaks-ground-on-california-ad-facility   
http://www.prnewswire.com/news-releases/socalgas-and-crr-environmental-announce-construction-of-pipeline-to-provide-carbon-neutral-renewable-natural-gas-300399808.html   http://www.fleetsandfuels.com/fuels/cng/2017/02/sogalgas-and-crr-for-rng-pipeline/
http://crrwasteservices.com/sustainability/anaerobic-digestion/</t>
  </si>
  <si>
    <t>CR&amp;R Perris Transfer Station and MRF</t>
  </si>
  <si>
    <t>CR&amp;R</t>
  </si>
  <si>
    <t>Riverside</t>
  </si>
  <si>
    <t xml:space="preserve">CR&amp;R Waste and Recycling Services
</t>
  </si>
  <si>
    <t>Will create high BTU RNG derived from MSW using two state anaerobic digestion; CNG fueling station is currently fueling 320 of CR&amp;R's collection vehicles, eventually to be expanded to 900. Excess CNG will feed into a natural gas pipeline distribution system; digestate will be utilized as a soil amendment</t>
  </si>
  <si>
    <t>Eisenmann mixed plug flow. Upgrading technology Greenlane Biogas (water wash)</t>
  </si>
  <si>
    <t xml:space="preserve">Commercial food scraps, green waste, FOG. </t>
  </si>
  <si>
    <t>BOTH</t>
  </si>
  <si>
    <t>4,000,000 GGE by 2021</t>
  </si>
  <si>
    <t xml:space="preserve">No </t>
  </si>
  <si>
    <t>https://www.times-advocate.com/articles/escondido-ad-facility-is-first-in-county/
https://www.escondidodisposal.com/commercial-waste-services/commercial-services/organic-recycling/#
https://dpw.lacounty.gov/epd/tf/Attachments/Minutes_Attachments/2021_Attachments/Hitachi_Zosen_INOVA_Presentation_3-11-2021.pdf
https://www.hz-inova.com/renewable-gas/anaerobic-digestion/</t>
  </si>
  <si>
    <t xml:space="preserve">Escondido Disposal RNG </t>
  </si>
  <si>
    <t xml:space="preserve">Escondido Disposal, Inc. </t>
  </si>
  <si>
    <t>San Diego</t>
  </si>
  <si>
    <t>Project expected to become operational Q3/Q4 2021</t>
  </si>
  <si>
    <t>Escondido Disposal Inc., Hitachi Zoven Innova</t>
  </si>
  <si>
    <t xml:space="preserve">EDI will use RNG produced from area food waste to fuel its fleet. As of July one digester is up and running, on tail end of commissioning, have to Cx second. This is potentially a two phase project, with 2 more digesters being installed if EDI's flow increases enough to justify it.   </t>
  </si>
  <si>
    <t>Dry thermophilic, plug flow</t>
  </si>
  <si>
    <t xml:space="preserve">~250 TPD. </t>
  </si>
  <si>
    <t xml:space="preserve">Commercial and residential food scraps </t>
  </si>
  <si>
    <t xml:space="preserve">Customer base </t>
  </si>
  <si>
    <t>Northstate Rendering Anaerobic Digester (Biogas Energy)</t>
  </si>
  <si>
    <t>North State Rendering</t>
  </si>
  <si>
    <t>Butte</t>
  </si>
  <si>
    <t>North State Rendering; Biogas Energy, Inc.</t>
  </si>
  <si>
    <t>Proprietary</t>
  </si>
  <si>
    <t>Post consumer food waste, FOG, agriculture waste, food processing waste</t>
  </si>
  <si>
    <t>Residential, commercial, food processors</t>
  </si>
  <si>
    <t>https://www.anaergia.com/construction-begins-at-north-america-s-largest-organic-waste-to-energy-facility-anaergia-s-rialto-bioenergy-facility https://www.prnewswire.com/news-releases/first-state-investments-acquires-stake-in-anaergia-services-rialto-bioenergy-facility-301036763.html
https://www.kpvi.com/news/national_news/renewable-natural-gas-produced-by-anaergia-from-diverted-landfill-waste-now-flowing-through-socalgas-system/article_569a4bfc-6c96-53d5-a011-ded34bfc2709.html</t>
  </si>
  <si>
    <t xml:space="preserve">Rialto Bioenergy Facility </t>
  </si>
  <si>
    <t>Rialto Bioenergy Facility, LLC</t>
  </si>
  <si>
    <t>San Bernardino</t>
  </si>
  <si>
    <t>Anaergia</t>
  </si>
  <si>
    <t>Project to begin production in 2020. 700 tpd of food waste and 300 tpd of biosolids.  Using Anaergia’s advanced anaerobic digestion technology to extract energy from the organic material, this facility will produce the equivalent of 13 megawatts of clean energy per year. The net carbon dioxide emissions reduction will be approximately 220,000 metric tons annually, which is the equivalent of taking 47,500 cars off the road.
Anaergia is building the RBF in collaboration with Waste Management, Republic Services, Southern California Edison, Anaheim Public Utility, Southwest Gas Utility, City of Rialto, the Sanitation Bureau of the City of Los Angeles, and the Sanitation Districts of Los Angeles County, and of Orange County. The RBF is co-funded by the California Energy Commission, U.S. Department of Energy, CalRecycle, State of California and significant private investment.
Contact says up to 2.88 MMSCFD upgraded gas injected. Average of 2.02 MMSCFD with onsite power generation. Assuming 2MM SCFD in calculations
Pipeline Injection of RNG and onsite power generation for export</t>
  </si>
  <si>
    <t>Wet Continuously Mixed Anaerobic Digester</t>
  </si>
  <si>
    <t>300000 tons per year</t>
  </si>
  <si>
    <t xml:space="preserve">Food Waste and Biosolids </t>
  </si>
  <si>
    <t xml:space="preserve">Waste Management, Republic Services, City of Rialto, Sanitation Districts of LA and Orange Counties </t>
  </si>
  <si>
    <t>4.9 MMSCFD</t>
  </si>
  <si>
    <t>PIPELINE (For vehicle/other)</t>
  </si>
  <si>
    <t>9.05 Million GGE/year</t>
  </si>
  <si>
    <t xml:space="preserve">Up to 4.6 MW </t>
  </si>
  <si>
    <t>220,000 MT</t>
  </si>
  <si>
    <t>https://www.adm.com/news/news-releases/adm-announces-innovative-project-to-provide-renewable-natural-gas  http://biomassmagazine.com/articles/14135/biogas-advances-in-the-us  http://www.4-traders.com/ARCHER-DANIELS-MIDLAND-CO-11533/news/Archer-Daniels-Midland-ADM-Ameren-partnering-to-provide-renewable-natural-gas-23525746/   http://herald-review.com/business/energy/adm-ameren-partnering-to-provide-renewable-natural-gas/article_8f13c92f-d224-5279-a2a2-99b4de1a2f0f.html</t>
  </si>
  <si>
    <t>Archer Daniels Midland corn processing facility</t>
  </si>
  <si>
    <t>Archer Daniels Midland</t>
  </si>
  <si>
    <t>IL</t>
  </si>
  <si>
    <t>Archer Daniels Midland/Ameren Illinois</t>
  </si>
  <si>
    <t xml:space="preserve">Renewable natural gas, produced as a byproduct at ADM’s corn processing facility in Decatur, will be distributed by Ameren Illinois into the nation’s natural gas infrastructure.  When construction of the project is complete, ADM will purify this methane into pipeline quality natural gas and transport it to an Ameren Illinois’ gas pipeline. Ameren Illinois will then distribute the gas into the interstate pipeline system where it will be available for use as a clean, affordable transportation fuel. ADM will benefit from capitalizing on environmental credits.
</t>
  </si>
  <si>
    <t>Waste from corn processing</t>
  </si>
  <si>
    <t xml:space="preserve">Archer Daniels Midland </t>
  </si>
  <si>
    <t>https://www.bioohio.com/item/quasar-energy-group-llc-central-ohio-bioenergy/   https://www.americanbiogascouncil.org/projectProfiles/columbus_oh.pdf
https://energy-vision.org/case-studies/columbus-bioenergy/
https://ideas.uncc.edu/sites/ideas.uncc.edu/files/media/mel-kurtz-bioenergy-symposium-for-distribution-0.pdf</t>
  </si>
  <si>
    <t xml:space="preserve">Central Ohio BioEnergy (Equilibrium Capital) </t>
  </si>
  <si>
    <t xml:space="preserve">Equilibrium Capital </t>
  </si>
  <si>
    <t>Franklin</t>
  </si>
  <si>
    <t>OH</t>
  </si>
  <si>
    <t>quasar energy group; Solid Waste Authority of Central Ohio (SWACO); Kurtz Bros., Inc.</t>
  </si>
  <si>
    <t>Processes biosolids from the City of Columbus to generate electricity and CNG for an on-site fueling station; also uses regional food waste and FOG (fats, oil and grease). According to presentation, 3600 GGE/day</t>
  </si>
  <si>
    <t xml:space="preserve">Complete Mix? </t>
  </si>
  <si>
    <t>90,000 tons/yr.</t>
  </si>
  <si>
    <t>Food waste, FOG and manure from farms</t>
  </si>
  <si>
    <t>City of Columbus</t>
  </si>
  <si>
    <t xml:space="preserve">Public </t>
  </si>
  <si>
    <t>8,760 MWh/yr.</t>
  </si>
  <si>
    <t>https://www.bioohio.com/item/quasar-energy-group-llc-zanesville-energy/   http://www.greenenergyohio.org/page.cfm?pageID=2949   http://quasareg.com/New/locations/</t>
  </si>
  <si>
    <t>Zanesville Energy (Quasar)</t>
  </si>
  <si>
    <t>Quasar</t>
  </si>
  <si>
    <t>Muskingum</t>
  </si>
  <si>
    <t>quasar energy group, Ohio State University</t>
  </si>
  <si>
    <t>Generates on-site electricity, heat and RNG through both liquid and solid state anaerobic digestion; on-site CNG fueling station. Feedstock includes food waste, FOG and biosolids. Centralized/regional facility</t>
  </si>
  <si>
    <t>Complete Mix</t>
  </si>
  <si>
    <t>35000 tons/year</t>
  </si>
  <si>
    <t>Food waste, FOG, biosolids</t>
  </si>
  <si>
    <t>8760 MWh year</t>
  </si>
  <si>
    <t xml:space="preserve">4623 (methane) </t>
  </si>
  <si>
    <t>https://highplainsbioenergy.com/Biogas.aspx
https://www.bloomberg.com/profiles/companies/0537045D:US-high-plains-bioenergy-llc
https://seaboardfoods.com/About/Pages/Facts_Figures_Bioenergy.aspx
https://www.wattagnet.com/articles/32044-high-plains-bioenergy-starts-operations-of-expanded-biogas-recovery-plant</t>
  </si>
  <si>
    <t>Seaboard Foods/High Plains Bioenergy</t>
  </si>
  <si>
    <t>High Plains Bioenergy</t>
  </si>
  <si>
    <t>Texas</t>
  </si>
  <si>
    <t>OK</t>
  </si>
  <si>
    <t xml:space="preserve">High Plains Bioenergy produces biogas from the Seaboard Foods' waste water system, which is then scrubbed to pipeline quality using a pressure swing adsorption system and delivered to the interstate pipeline network to be used by the public as a renewable energy source. According to company website, there is a CNG filling station located across the road from the plant, which provides fuel to some of the company's 180 CNG vehicles, is also open to public.  </t>
  </si>
  <si>
    <t>Lagoons</t>
  </si>
  <si>
    <t>Waste water from pork processing plant</t>
  </si>
  <si>
    <t xml:space="preserve">Seaboard Foods </t>
  </si>
  <si>
    <t xml:space="preserve">None </t>
  </si>
  <si>
    <t>https://www.wastetodaymagazine.com/article/utah-wasatch-resource-recovery-chooses-ge/
https://www.boisestatepublicradio.org/post/digesting-thanksgiving-leftovers-one-utah-facility-turning-food-waste-energy#stream/0
https://www.waste360.com/business/wasatch-resource-recovery-s-olsen-bowerman-finds-hope-waste
http://wasatchresourcerecovery.com/ https://www.ksl.com/article/46680173/how-this-north-salt-lake-plant-will-turn-table-scraps-into-natural-gas-for-europe
https://www.facebook.com/WasatchResourceRecovery/</t>
  </si>
  <si>
    <t xml:space="preserve">Wasatch Resource Recovery </t>
  </si>
  <si>
    <t xml:space="preserve">Through PPP co-owned by ALPRO Energy and Water and South Davis Sewer District </t>
  </si>
  <si>
    <t>Davis</t>
  </si>
  <si>
    <t>UT</t>
  </si>
  <si>
    <t>Wasatch Resource Recovery</t>
  </si>
  <si>
    <t xml:space="preserve">WRR is a public-private partnership between ALPRO Energy &amp; Water (ALPRO) and the South Davis Sewer District (SDSD). The facility will be using state-of-the-art equipment, much of which is supplied by GE-Monsal, a strategic partner in the project. The WRR is sited right next to the existing South Plant wastewater treatment facility and will use much of the existing plants’ facilities to support the project. In the first phase of construction, two 2.5-million gallon tanks will be built to be used at the WRR facility for digestion. In this public-private partnership, the SDSD will operate the WRR facility and ALPRO will manage the feed stock and the energy and fertilizer offtakes. 
Original project plan involved  4 digesters, a row of greenhouses, a boiler building, a chemical &amp; dewatering building, and a depackaging facility.Two of four planned digesters are in place, units three and four are several years down the road as of 2021. Planned greenhouses for site have been deferred. </t>
  </si>
  <si>
    <t xml:space="preserve">Wet, complete mix </t>
  </si>
  <si>
    <t>500-700 tpd</t>
  </si>
  <si>
    <t>1400 tpd</t>
  </si>
  <si>
    <t>Prepared and packaged foods, fruits and vegetables, meat and dairy, fats, oils, grease, expired beverages, screened curbside wastes and liquid organics from major food processors</t>
  </si>
  <si>
    <t xml:space="preserve">Local supermarkets, restaurants, food processors. Bulk of waste will be from manufacturing. Delivered by local haulers. 2021, started accepting limited amounts of residential waste via dropoff, will be doing a pilot for curbside pick up with local hauler. </t>
  </si>
  <si>
    <t>https://www.vashonbeachcomber.com/news/island-anaerobic-digester-unveiled/
https://www.vashonbeachcomber.com/news/island-based-impact-bioenergy-fuels-up-car-with-food-waste/
https://impactbioenergy.com/wp-content/uploads/2019/06/Vashon-Bioenergy-Farm-Island-Spring-Organics-NAUTILUS-overview.pdf</t>
  </si>
  <si>
    <t>Impact Bioenergy Vashon Island</t>
  </si>
  <si>
    <t>UNDER CONSTRUCTION</t>
  </si>
  <si>
    <t xml:space="preserve">Impact Bioenergy </t>
  </si>
  <si>
    <t>King</t>
  </si>
  <si>
    <t>WA</t>
  </si>
  <si>
    <t>Impact Bioenergy</t>
  </si>
  <si>
    <t xml:space="preserve">Project processes waste from a tofu factory.  Small scale project, as of July 2020 providing fuel for single vehicle. </t>
  </si>
  <si>
    <t>CSTR?</t>
  </si>
  <si>
    <t>8000 lbs/day</t>
  </si>
  <si>
    <t>Okara and whey</t>
  </si>
  <si>
    <t>Island Spring Organics</t>
  </si>
  <si>
    <t>WI</t>
  </si>
  <si>
    <t>Big Ox Energy</t>
  </si>
  <si>
    <t>Unknown</t>
  </si>
  <si>
    <t>Green Era Urban Farming Campus, Chicago</t>
  </si>
  <si>
    <t>PLANNED</t>
  </si>
  <si>
    <t xml:space="preserve">Green Era Sustainability? </t>
  </si>
  <si>
    <t xml:space="preserve">Cook </t>
  </si>
  <si>
    <t xml:space="preserve">IL </t>
  </si>
  <si>
    <t>NO</t>
  </si>
  <si>
    <t>Green Era; Greater Auburn-Gresham Development Corp; BP?</t>
  </si>
  <si>
    <t xml:space="preserve">"Green Era is developing a renewable energy facility in South Chicago. The project will be located on a vacant brownfield site in an area with urgent need for cleanup and economic development. Using anaerobic digestion, Green Era will divert inedible food waste from landfills to produce clean, renewable energy and nutrient-rich soil, which will be used as a critically needed input in the expansion of fresh local food production. The end result will have positive social and environmental impacts, while also creating jobs, sustainable neighborhoods and healthier lifestyles." Project will produce compost for an urban farming component that will grow ~26,000 lbs of food annually; area is considered food desert. </t>
  </si>
  <si>
    <t>230 (based on 85,000 TPY)</t>
  </si>
  <si>
    <t xml:space="preserve">"Recycled food and waste" </t>
  </si>
  <si>
    <t>UNKNOWN</t>
  </si>
  <si>
    <t xml:space="preserve">BioEnergy Devco Jessup </t>
  </si>
  <si>
    <t>BioEnergy Devco</t>
  </si>
  <si>
    <t>MD</t>
  </si>
  <si>
    <t>BTS Biogas CSTR and membrane separation upgrading</t>
  </si>
  <si>
    <t xml:space="preserve">Food waste from wholesale market </t>
  </si>
  <si>
    <t>Maryland Food Center Authority</t>
  </si>
  <si>
    <t>Pending</t>
  </si>
  <si>
    <t>https://www.newsdata.com/clearing_up/courts_and_commissions/nw-natural-proposes-rng-project-in-nebraska-for-tyson-foods/article_d2afec2e-520a-11eb-9ac3-5f99aa0fc0d8.html https://www.naturalgasintel.com/nw-natural-taking-partners-for-more-u-s-rng-production/
https://www.biocarbn.com/wp-content/uploads/2021/01/NW-Natural-and-BioCarbN-Form-Innovative-Renewable-Natural-Gas-Partnership-with-Tyson-Foods-2021.pdf</t>
  </si>
  <si>
    <t>NW Natural/Tyson Foods RNG, Lexington NE</t>
  </si>
  <si>
    <t xml:space="preserve">NW Natural </t>
  </si>
  <si>
    <t>Dawson</t>
  </si>
  <si>
    <t>NE</t>
  </si>
  <si>
    <t>Construction began Q1 2021</t>
  </si>
  <si>
    <t>NW Natural , BioCarbN, Cross River Infrastructure Partners</t>
  </si>
  <si>
    <t>The first of four potential projects under the NW Natural/Tyson joint venture will be in Lexington, Neb., next to a Tyson Fresh Meats beef packaging plant and will use anaerobic digester technology to convert the plant's animal waste and other byproducts into RNG, which will be processed to pipeline quality specifications. The RNG will be injected into Black Hills Energy's local distribution system, and the associated renewable thermal certificates will be used to meet targets under Oregon Senate Bill 98, enacted in 2019, which supports renewable energy procurement and investment by natural gas utilities.</t>
  </si>
  <si>
    <t>Animal waste, wastewater, food processing by products</t>
  </si>
  <si>
    <t>Tyson plant</t>
  </si>
  <si>
    <t>Synthica St. Bernard</t>
  </si>
  <si>
    <t xml:space="preserve">Hamilton RNG, a JV of UGI Energy Services and Synthica Energy. </t>
  </si>
  <si>
    <t xml:space="preserve">Hamilton </t>
  </si>
  <si>
    <t xml:space="preserve">Hamilton RNG </t>
  </si>
  <si>
    <t>CSTR</t>
  </si>
  <si>
    <t xml:space="preserve">~190,000 tons annually </t>
  </si>
  <si>
    <t>~500 TPD</t>
  </si>
  <si>
    <t>Food from nearby manufacturers</t>
  </si>
  <si>
    <t>Nearby manufacturers</t>
  </si>
  <si>
    <t xml:space="preserve"> http://biomassmagazine.com/articles/11178/novus-pacific-to-build-full-scale-oregon-renewable-energy-plant  http://www.novus-energy.com/project-highlights/novus-pacific-llc-at-port-of-morrow/  https://www.rd.usda.gov/files/Novus_Pacific_EA_Supplemental.pdf</t>
  </si>
  <si>
    <t>Port of Morrow, Boardman, Oregon</t>
  </si>
  <si>
    <t>Port of Morrow</t>
  </si>
  <si>
    <t>Morrow</t>
  </si>
  <si>
    <t>OR</t>
  </si>
  <si>
    <t>Digster construction starting  Fall 2021; full project operational 2024.</t>
  </si>
  <si>
    <t>Port of Morrow; partners being identified.</t>
  </si>
  <si>
    <t>??</t>
  </si>
  <si>
    <t>Leftover potato peelings and onion skins, cheese, FOG from local food processors.</t>
  </si>
  <si>
    <t>Local food processors, local dairy farm</t>
  </si>
  <si>
    <t>VEHICLE FUEL</t>
  </si>
  <si>
    <t>http://www.energy.ca.gov/2017publications/CEC-500-2017-021/CEC-500-2017-021.pdf       https://www.ucdavis.edu/news/biodigester-turns-campus-waste-campus-energy https://americanbiogascouncil.org/projectProfiles/ucdavis_to_print.pdf</t>
  </si>
  <si>
    <t>UC Davis Renewable Energy Anaerobic Digester (READ)</t>
  </si>
  <si>
    <t>PROJECT SUSPENDED</t>
  </si>
  <si>
    <t>UC Davis</t>
  </si>
  <si>
    <t>Yolo</t>
  </si>
  <si>
    <t>UC Davis; CleanWorld</t>
  </si>
  <si>
    <t>3 anaerobic reactor tanks. Thermophilic. Total volume of 450,000 gallons. 4 microturbines. Currently produces heat and electricity; additional capability may be added to purify and compress the biogas for producing compressed or liquefied fuels; also produces ethanol from food waste such as sugar beets</t>
  </si>
  <si>
    <t>Thermophilic, three stage, complete mix</t>
  </si>
  <si>
    <t>20000 tons/yr.</t>
  </si>
  <si>
    <t>Food waste from dining halls, commercial restaurants, retail produce waste. food scraps from commercial food supply companies, mouse bedding from lab, horse manure</t>
  </si>
  <si>
    <t>UC Davis dining halls, local food processors</t>
  </si>
  <si>
    <t>OTHER</t>
  </si>
  <si>
    <t>925 kW</t>
  </si>
  <si>
    <t>13,500 tons</t>
  </si>
  <si>
    <t>Muscatine</t>
  </si>
  <si>
    <t>IA</t>
  </si>
  <si>
    <t>ID</t>
  </si>
  <si>
    <t>https://synthica.com/projects/</t>
  </si>
  <si>
    <t>KY</t>
  </si>
  <si>
    <t>MN</t>
  </si>
  <si>
    <t>Union</t>
  </si>
  <si>
    <t>NJ</t>
  </si>
  <si>
    <t>RNG Energy Solutions</t>
  </si>
  <si>
    <t xml:space="preserve">Food waste from restaurants, grocery stores, food processing. Food waste will be slurried at separate sites and brought to digesters. </t>
  </si>
  <si>
    <t>Various</t>
  </si>
  <si>
    <t>~55,000 MT</t>
  </si>
  <si>
    <t>D5</t>
  </si>
  <si>
    <t>Mercer</t>
  </si>
  <si>
    <t>Synthica Miami Valley</t>
  </si>
  <si>
    <t xml:space="preserve">Synthica </t>
  </si>
  <si>
    <t>"Food-derived feedstock"</t>
  </si>
  <si>
    <t>TX</t>
  </si>
  <si>
    <t>https://www.businessinsider.com/philadelphia-refiner-machine-turns-food-scraps-into-natural-gas-2018-8 https://www.inquirer.com/business/energy/philly-refinery-pes-renewable-gas-plans-scrapped-20200211.html#:~:text=Point%20Breeze%20Renewable%20Energy%2C%20which,renewable%20natural%20gas%2C%20or%20RNG.
http://pes-companies.com/newsroom/press-release/rng-energy-solutions-and-philadelphia-energy-solutions-partner-to-form-point-breeze-renewable-energy/
http://www2.philly.com/philly/business/energy/philadelphia-energy-solutions-food-waste-digester-methane-gas-fuel-20180828.html  https://stateimpact.npr.org/pennsylvania/2020/05/07/planned-120m-renewable-energy-plant-at-south-philly-refinery-site-is-not-dead-2/</t>
  </si>
  <si>
    <t>Point Breeze Renewable Energy</t>
  </si>
  <si>
    <t>PA</t>
  </si>
  <si>
    <t>RNG Energy Solutions, Philadelphia Energy Solutions</t>
  </si>
  <si>
    <t>RNG Energy will develop and construct the $120 million anaerobic digester facility to produce renewable natural gas, which will be injected into the Interstate Pipeline and sold as a transportation fuel for bus and truck fleets. Permitting and construction of the project is estimated to take two to three years. Organic waste consisting of grocery, restaurant, and food processing wastes will be processed at offsite locations and delivered in fully enclosed tanker trucks to the PBRE facility. The facility will be designed to process up to 1,100 tons per day of diverted organic waste in eight bioreactors visually similar to the surrounding refinery tankage. The PBRE facility will be one of the largest carbon reduction, renewable and sustainable resource projects constructed in Pennsylvania.  The City of Philadelphia and the broader metropolitan region will be able to manage their organic waste streams by collecting and sending their processed organic material to the PBRE facility, thereby avoiding disposal in landfills and assisting the City in achieving its sustainability goals.</t>
  </si>
  <si>
    <t>Complete mix</t>
  </si>
  <si>
    <t>1100 tpd</t>
  </si>
  <si>
    <t>https://madison.com/ct/news/local/govt-and-politics/report-food-scraps-digester-project-could-be-feasible-at-yahara-hills-golf-course/article_15bf2574-450b-5d52-9b92-4cfc12bfa4fc.html</t>
  </si>
  <si>
    <t xml:space="preserve">Yahara Hill Food Waste Digester </t>
  </si>
  <si>
    <t>Dane</t>
  </si>
  <si>
    <t>April 2021, Madison WI is looking to cut costs on its golf courses, and also has a landfill capacity problem. Closing the Yahara Hills golf course, which is located across from the landfill with its existing injection point, and building a digester there is one of the suggestions</t>
  </si>
  <si>
    <t>http://www.colonyenergypartners.com/tulare-bio-gas/   http://biomassmagazine.com/articles/11418/california-energy-commission-awards-biogas-project-5-million   http://www.sandiegouniontribune.com/news/sd-tm-0729-digester-20170719-story.html</t>
  </si>
  <si>
    <t>Colony Energy Partners Tulare LLC</t>
  </si>
  <si>
    <t>CANCELLED</t>
  </si>
  <si>
    <t>Tulare</t>
  </si>
  <si>
    <t xml:space="preserve">Colony Energy Partners, LLC </t>
  </si>
  <si>
    <t>Divert waste  from California’s landfills in order to produce renewable biomethane, which will be fed directly into the natural gas grid via a SoCalGas transmission line adjacent to the property. The biomethane will also be supplied as a diesel alternative to San Joaquin Valley’s on-road truck market through a public access Bio-CNG fueling station located on the property. The facility will integrate combined heat and power (CHP) cogeneration modules, a portion of which can run on the biogas to generate electric and thermal energy for the facility. Any excess thermal energy will be exported to heat the adjacent City of Tulare Industrial Wastewater Treatment Plant’s digester. California Energy Commission awarded $5 million grant for this $25 million project</t>
  </si>
  <si>
    <t>500 tons/day</t>
  </si>
  <si>
    <t>Dairy manure, food and agricultural processing residuals, restaurant and cafeteria food scraps, restaurant grease trap residuals, and organic municipal solid waste</t>
  </si>
  <si>
    <t>1,200 kW</t>
  </si>
  <si>
    <t>41,850 tons/yr.</t>
  </si>
  <si>
    <t>https://www.arb.ca.gov/fuels/lcfs/workgroups/lcfssustain/tisher.pdf</t>
  </si>
  <si>
    <t>Mendota Advanced Bioenergy Beet Cooperative</t>
  </si>
  <si>
    <t>SHUT DOWN</t>
  </si>
  <si>
    <t>Fresno</t>
  </si>
  <si>
    <t>Mendota Advanced Bioenergy Beet Cooperative; Mendota Bioenergy, LLC; California Energy Commission</t>
  </si>
  <si>
    <t>A large system to produce electricity, CNG for pipeline/vehicle fuel, and ethanol production from beets. The demonstration plant came on line in December 2014 and will operate through the summer of 2015 when efforts will shift to the development, construction, and operation of Advanced Bioenergy Center—Mendota (ABC-M), the first of several California-based full-scale commercial 15-MGY integrated biorefineries.  ABC-M is targeted for a late 2017 or early 2018 startup.</t>
  </si>
  <si>
    <t>4,000 tons/day</t>
  </si>
  <si>
    <t>Beets</t>
  </si>
  <si>
    <t>6.3 MW</t>
  </si>
  <si>
    <t>http://www.cleanworld.com/news/cleanworlds-sacramento-biodigester-named-international-bioenergy-project-of-the-year/    
http://biocng.us/wp-content/uploads/2015/06/CleanWorld-Fact-Sheet-2015.pdf 
https://refuelenergypartners.com/</t>
  </si>
  <si>
    <t xml:space="preserve">Sacramento Biodigester/Incline Clean Energy (formerly Clean World) </t>
  </si>
  <si>
    <t>SHUT DOWN; FUTURE POTENTIAL?</t>
  </si>
  <si>
    <t xml:space="preserve">Fueling station, Atlas ReFuel; digester and upgrading facility, Incline Clean Energy </t>
  </si>
  <si>
    <t>Sacramento</t>
  </si>
  <si>
    <t>December 2012</t>
  </si>
  <si>
    <t>BioCNG; CleanWorld; Atlas Disposal</t>
  </si>
  <si>
    <t>Converts food waste from area food processing companies, restaurants and supermarkets into RNG, electricity and soil-amendment products; RNG fuels waste disposal vehicles, school buses and fleet vehicles throughout the Sacramento region via an on-site fueling station. Currently 100% of gas goes to vehicle fueling, in the future 85% will go to vehicle fueling and 15% to on-site electricity use.</t>
  </si>
  <si>
    <t>2016, 24,000 tons/yr.; Jan. 2017, running at between 60% and 100% capacity (100 tpd)</t>
  </si>
  <si>
    <t>Food waste</t>
  </si>
  <si>
    <t>Atlas Disposal</t>
  </si>
  <si>
    <t xml:space="preserve">3,170 kWh/yr., goes toward powering station, digester, upgrading </t>
  </si>
  <si>
    <t>18,250 tons/yr.</t>
  </si>
  <si>
    <t>http://www.northbaybusinessjournal.com/csp/mediapool/sites/NBBJ/IndustryNews/story.csp?cid=4179855&amp;sid=778&amp;fid=181    http://www.sonoma-county.org/prmd/b-c/pcbza/act_20110526.pdf</t>
  </si>
  <si>
    <t>Santa Rosa, CA FARMS to FUEL Project</t>
  </si>
  <si>
    <t>Sonoma</t>
  </si>
  <si>
    <t>BioStar Systems, LLC; Sonoma County Water Agency; Sonoma Country Transit</t>
  </si>
  <si>
    <t>Create pipeline quality gas for vehicle fuel; used to fuel Sonoma County Transit fleet, with excess sent to nearby fueling stations</t>
  </si>
  <si>
    <t>Thermophilic (50-55C)</t>
  </si>
  <si>
    <t>75,000 gal/day dairy waste; 66,000 gal/day food waste</t>
  </si>
  <si>
    <t>Dairy and food waste</t>
  </si>
  <si>
    <t>240,000 (148,000 SCFD used by Sonoma County Transit fleet)</t>
  </si>
  <si>
    <t>PIPELINE</t>
  </si>
  <si>
    <t>5.2 MWh</t>
  </si>
  <si>
    <t>41,300 tons/year</t>
  </si>
  <si>
    <t xml:space="preserve">http://www.greeleytribune.com/news/local/heartland-biogas-says-shut-down-ongoing-amid-court-battle-with-weld-county/    http://www.boulderweekly.com/boulderganic/requiem-for-a-digester/  https://www.facebook.com/greeleytribune/posts/10155535036633077  http://www.rewmag.com/article/heartland-biogas-edf-renewable-partnership/ http://bizwest.com/a1-organics-heartland-biogas-complete-3-5m-facility-expansion/   http://www.npr.org/sections/thesalt/2016/04/05/472673127/how-colorado-is-turning-food-waste-into-electricity   
</t>
  </si>
  <si>
    <t>Heartland Biogas</t>
  </si>
  <si>
    <t>Weld</t>
  </si>
  <si>
    <t>CO</t>
  </si>
  <si>
    <t>Heartland Renewable Energy LLC, EDF Renewable Energy</t>
  </si>
  <si>
    <t>6 Bio Reactors (Tanks and Lagoons) produce the biogas which is then passed through a Sulfur Scrubber and a DeOxo unit so that it can be injected into a pipeline and sent to the Sacramento Municipal Utility District (SMUD)</t>
  </si>
  <si>
    <t>Organic Feedstock and dairy cow manure</t>
  </si>
  <si>
    <t>A1 organics</t>
  </si>
  <si>
    <t>https://www.waste360.com/anaerobic-digestion/bioenergy-devco-advances-expansion-plans
https://www.prnewswire.com/news-releases/bioenergy-devco-to-purchase-perdue-agrirecycle-organic-soil-composting-facility-in-delaware-300962924.html</t>
  </si>
  <si>
    <t xml:space="preserve">BioEnergyDevCo Principio Business Park </t>
  </si>
  <si>
    <t>CANCELLED; FUTURE POTENTIAL?</t>
  </si>
  <si>
    <t>BioEnergy Dev Co</t>
  </si>
  <si>
    <t xml:space="preserve">Cecil </t>
  </si>
  <si>
    <t xml:space="preserve">BioenergyDevCo? </t>
  </si>
  <si>
    <t>Taking ag waste from area poultry processors and food waste from area producers. Project is going in at business park, initial plan is to provide RNG for campus fleet, looking at pipeline injection later</t>
  </si>
  <si>
    <t xml:space="preserve">70-100,000 tons mixed food and ag waste annually </t>
  </si>
  <si>
    <t xml:space="preserve">Mixed food and ag (poultry farmers) </t>
  </si>
  <si>
    <t>https://www.egr.msu.edu/bae/adrec/feature/south-campus-anaerobic-digester http://ipf.msu.edu/green/practices/anaerobic-digester.html</t>
  </si>
  <si>
    <t>Michigan State University South Campus Anaerobic Digester</t>
  </si>
  <si>
    <t>MSU</t>
  </si>
  <si>
    <t>Ingham</t>
  </si>
  <si>
    <t>MI</t>
  </si>
  <si>
    <t xml:space="preserve">Michigan State University </t>
  </si>
  <si>
    <t>Biogas is used to power a 400 kW combined heat and power unit. Upgrading biogas to CNG for the campus vehicle fleet is a future consideration. 
Gases cleaned using a series of filters (water vapor via chiller, H2S via iron sponge, siloxanes and volatile organic carbons via carbon filter) prior to going to microturbines. CHP</t>
  </si>
  <si>
    <t>Single tank complete mix, 25 day retention time</t>
  </si>
  <si>
    <t>66 tpd</t>
  </si>
  <si>
    <t>Manure, Food processing waste, FOG, Cafeteria food waste</t>
  </si>
  <si>
    <t>Michigan State University and local food processors/service</t>
  </si>
  <si>
    <t>2600 MWh/yr. via 380 kW CHP unit</t>
  </si>
  <si>
    <t>https://www.bioohio.com/item/quasar-energy-group-llc-collinwood-bioenergy/
http://www.crainscleveland.com/article/20130304/NORTECH13/303049980/quasar-energy-group-collinwood-bioenergy</t>
  </si>
  <si>
    <t>Collinwood BioEnergy (Quasar)</t>
  </si>
  <si>
    <t>Cuyahoga</t>
  </si>
  <si>
    <t>quasar energy group; Forest City Enterprises</t>
  </si>
  <si>
    <t>Digests biosolids, FOG, and food waste to generate electricity and produce CNG fuel</t>
  </si>
  <si>
    <t>75,000 tons/yr.</t>
  </si>
  <si>
    <t>Food waste, biosolids, and FOG</t>
  </si>
  <si>
    <t>1.3 MW/day</t>
  </si>
  <si>
    <t>https://www.bioohio.com/item/quasar-energy-group-llc-lime-lakes-energy/  http://quasareg.com/New/wp-content/uploads/2016/10/Lime-Lakes-2016.pdf</t>
  </si>
  <si>
    <t>Lime Lakes Energy</t>
  </si>
  <si>
    <t>Summit</t>
  </si>
  <si>
    <t>Lime Lakes Energy, LLC; quasar energy group; PPG Industries, Inc.</t>
  </si>
  <si>
    <t>Codigests food waste, FOG and sewage sludge to produce electricity. It is anticipated that the lime lakes reclamation activities to be completed in half of the original schedule, by the end of 2016.</t>
  </si>
  <si>
    <t>17,500 tons/yr.</t>
  </si>
  <si>
    <t>810kW</t>
  </si>
  <si>
    <t>http://www.sortbioenergy.com/
https://www.oregonmetro.gov/sites/default/files/2017/04/18/SORT_F-173-17_staffrpt.pdf</t>
  </si>
  <si>
    <t>Wilsonville food scrap digester 
(Sustainable Organics Recycling Technology, SORT)</t>
  </si>
  <si>
    <t>Washington</t>
  </si>
  <si>
    <t>Sustainable Organics Recycling Technology (SORT) Bioenergy</t>
  </si>
  <si>
    <t xml:space="preserve">SORT Bioenergy proposed to build this plant near a Republic Services' garbage transfer center. It will collect waste from the center and produce methane to power some of Republic Services' truck fleet. </t>
  </si>
  <si>
    <t>50,000 to 70,000 tons/yr.</t>
  </si>
  <si>
    <t>Commercial food scraps</t>
  </si>
  <si>
    <t>Republic Services</t>
  </si>
  <si>
    <t>https://www.americanbiogascouncil.org/projectProfiles/milwaukee_to_print.pdf  http://greenfire.com/fcpc-renewable-generation-biodigester-facility/   https://energy.gov/eere/technology-to-market/renewable-energy-deployment-projects-forest-county-potawatomi-community   http://www.renewwisconsin.org/pdf/PotoProfile.pdf   https://www.biocycle.net/2014/05/15/from-casino-kitchens-to-on-site-digester/</t>
  </si>
  <si>
    <t>Forest County Potawatomi Community Renewable Generation - Biogas Facility</t>
  </si>
  <si>
    <t>Greenfire Management Services LLC*, Miron Construction Co., Inc., Symbiont Science, Engineering and Construction, Inc., Biothane, LLC, Veolia Water Solutions*, Natural Systems Utilities, LLC*</t>
  </si>
  <si>
    <t xml:space="preserve">At 2MW, the merchant plant has 5 feedstock tanks to sort supply, an equalization tank to mix and hold, and two 1.3M gallon anaerobic digesters. Digesters are continuously stirred and can process 132,000 gal./day. The two 1MW engines, unloading bays, gas skid, heat exchangers and solids processing are all enclosed with biological odor control. When fueling system is installed, will be initially for use by FCPC, then available under contract to local government and private fleets. Current upgrading process upgrading gas knocks particulates out, keep H2S down and drops out water vapor. No CO2 reduction, minimal volume change. </t>
  </si>
  <si>
    <t>Continuous stir</t>
  </si>
  <si>
    <t>45,000 gpd</t>
  </si>
  <si>
    <t>Liquid food waste + organic byproducts of food processing industries, including beverage, dairy, meat, processed food + other byproducts of industrial food crop processing</t>
  </si>
  <si>
    <t>Potawatomi Hotel and Casino</t>
  </si>
  <si>
    <t>2MW</t>
  </si>
  <si>
    <t>20,000 tonnes/year</t>
  </si>
  <si>
    <t>Montgomery</t>
  </si>
  <si>
    <t>AL</t>
  </si>
  <si>
    <t>MO</t>
  </si>
  <si>
    <t>FOOD WASTE PROJECTS: STATUS</t>
  </si>
  <si>
    <t>Operational</t>
  </si>
  <si>
    <t>Under construction</t>
  </si>
  <si>
    <t xml:space="preserve">Planned </t>
  </si>
  <si>
    <t>Other</t>
  </si>
  <si>
    <t xml:space="preserve">Value from LMOP </t>
  </si>
  <si>
    <t>Value from website/press</t>
  </si>
  <si>
    <t>PROJECT INFORMATION</t>
  </si>
  <si>
    <t>ADDITIONAL INFORMATION</t>
  </si>
  <si>
    <t>Landfill/Project Name</t>
  </si>
  <si>
    <t xml:space="preserve"> Owner</t>
  </si>
  <si>
    <t>Waste In Place (tons)</t>
  </si>
  <si>
    <t>Daily intake, tons</t>
  </si>
  <si>
    <t>County</t>
  </si>
  <si>
    <t>Upgrading Start Date</t>
  </si>
  <si>
    <t>Developer(s)</t>
  </si>
  <si>
    <t>Description</t>
  </si>
  <si>
    <t>LFG Flow to Upgrading Project (mmscfd)</t>
  </si>
  <si>
    <t>Total LFG Collected (mmscfd)</t>
  </si>
  <si>
    <t>LFG Flared (mmscfd)</t>
  </si>
  <si>
    <t>Upgraded gas, SCFD</t>
  </si>
  <si>
    <t>Upgraded MMBTU/yr</t>
  </si>
  <si>
    <t xml:space="preserve"> GGE/yr</t>
  </si>
  <si>
    <t>Capacity (GGE/yr)</t>
  </si>
  <si>
    <t>Electricity</t>
  </si>
  <si>
    <t>Annual metric tonnes CO2e eliminated</t>
  </si>
  <si>
    <t>City of Fort Smith Landfill (Morrow Renewables)</t>
  </si>
  <si>
    <t>Fort Smith Department of Sanitation</t>
  </si>
  <si>
    <t>Sebastian</t>
  </si>
  <si>
    <t>AR</t>
  </si>
  <si>
    <t>Morrow Renewables, LLC, Cambrian Energy Development, LLC</t>
  </si>
  <si>
    <t>Physical solvent process with patented enhancements and catalytic oxygen removal - removes CO2, H2O, H2S, siloxanes, and other impurities from LFG. Creates high BTU RNG injected into the pipeline infrastructure.  Gas used down the pipeline for vehicle fuel.</t>
  </si>
  <si>
    <t xml:space="preserve">.35 MMT </t>
  </si>
  <si>
    <t>Altamont Landfill (Waste Management)</t>
  </si>
  <si>
    <t>Waste Management, Inc.</t>
  </si>
  <si>
    <t>Alameda</t>
  </si>
  <si>
    <t>The Linde Group; High Mountain Fuels</t>
  </si>
  <si>
    <t>Creates LNG to fuel 300 garbage trucks; WM delivers it to their locations in the SF Bay Area mostly - Oakland, Livermore and San Leandro - with occasional deliveries to Castroville; generates electricity from landfill gas powered turbines and windmills. System's multi-step process includes compression, chilling, adsorption, and membranes to remove impurities, cleaned LFG is then cooled to -260 deg F to create 13,000 gal/day LNG for garbage trucks.</t>
  </si>
  <si>
    <t xml:space="preserve">Enough to "power LNG plant and 8000 homes annually". </t>
  </si>
  <si>
    <t>Live Oak Landfill</t>
  </si>
  <si>
    <t>Landfill, Waste Management, Inc. Upgrading System, AIr Liquide</t>
  </si>
  <si>
    <t>DeKalb</t>
  </si>
  <si>
    <t>GA</t>
  </si>
  <si>
    <t>Jacoby Energy Development, Inc.; Atlanta Gas Light Company; Air Liquide; Energy Systems Group</t>
  </si>
  <si>
    <t xml:space="preserve">Creates high BTU RNG injected into the pipeline infrastructure. Also fuels 14 CNG sanitation trucks. Air Liquide process for upgrade to 2,300 scfm of high Btu gas; uses combination of pressure swing adsorption and membrane technology. "generating up to 1,500 MWh of renewable natural gas daily to be transported via pipeline"
</t>
  </si>
  <si>
    <t xml:space="preserve">Dubuque Metro Landfill </t>
  </si>
  <si>
    <t>Dubuque Metropolitan Area Solid Waste Agency</t>
  </si>
  <si>
    <t>Dubuque</t>
  </si>
  <si>
    <t>Dubuque Metropolitan Area Solid Waste Agency, Enerdyne</t>
  </si>
  <si>
    <t xml:space="preserve">Landfill gas capture system is being upgraded in 2019 from flaring to upgrading, for injection into interstate pipeline. Based on press releases on solid waste agency website, an agreement with Trillium fell through, the project is now being done by Enerdyne. Project to begin construction in Q4 2020 RNG production should begin Q3 2021, LFG flow to project ~750cfm. </t>
  </si>
  <si>
    <t>Milam Recycling and Disposal Facility (Waste Management)</t>
  </si>
  <si>
    <t>St. Clair</t>
  </si>
  <si>
    <t>WM Renewable Energy, LLC</t>
  </si>
  <si>
    <t>Facility designed to process 3,500 cfm LF. Gas is transported via natural gas pipelines to WM’s CNG fueling stations and CNG trucks. Upgrading equipment: CO2/siloxane: Air Liquide membrane with carbon polisher. Nitrogen/Oxygen: ARI PSA.</t>
  </si>
  <si>
    <t>2.4 MW for RNG plant demand, none exported to grid. Three Cat 3516 engines running on natural gas</t>
  </si>
  <si>
    <t>Randolph Farms Landfill</t>
  </si>
  <si>
    <t xml:space="preserve">Randolph Farms Landfill </t>
  </si>
  <si>
    <t xml:space="preserve">Modoc </t>
  </si>
  <si>
    <t>IN</t>
  </si>
  <si>
    <t>Summer 2018</t>
  </si>
  <si>
    <t xml:space="preserve">Randolph Farms Inc. </t>
  </si>
  <si>
    <t xml:space="preserve">Relatively small scale project, upgrading about 15% of landfill gas. Doing single pass upgrading, only capturing about 40% of the gross volume of gas. Not a 24/7 operation, but capturing about 1500 MMBTU/month. Gas being used to fuel part of collection fleet, about 8 trucks out of 40. Any project expansion will be based on expansion of CNG portion of fleet.  Upgrading skid installed by Unison Solutions, using Air Liquide membrane separation technology. </t>
  </si>
  <si>
    <t xml:space="preserve">Indy High BTU/Southside </t>
  </si>
  <si>
    <t xml:space="preserve">Indy High BTU LLC owned by Kinetrex Energy, South Side Landfill and EDL Energy) </t>
  </si>
  <si>
    <t xml:space="preserve">IN </t>
  </si>
  <si>
    <t>Q1 2020</t>
  </si>
  <si>
    <t>EDL Energy, Kinetrex</t>
  </si>
  <si>
    <t xml:space="preserve">Iron redox scrubber for hydrogen sulfide removal, membranes for carbon dioxide removal and pressure swing adsorption for nitrogen removal. Indy High BTU supplies Kinetrex Energy with RNG, which Kinetrex turns into liquefied natural gas (LNG) and sells to Midwest transportation fleets. Air Liquide CO2 removal and Guild Associates nitrogen removal.  </t>
  </si>
  <si>
    <t>Hamm Sanitary Landfill/Renewable Power Producers</t>
  </si>
  <si>
    <t xml:space="preserve">RNG project, Renewable Power Producers LLC
Landfill: Hamm Inc. </t>
  </si>
  <si>
    <t>KS</t>
  </si>
  <si>
    <t>Q3 2017</t>
  </si>
  <si>
    <t>Renewable Power Producers</t>
  </si>
  <si>
    <t>Shawnee</t>
  </si>
  <si>
    <t>Johnson</t>
  </si>
  <si>
    <t>Energy Investors Funds Group; Enpower Corp.; Aria (formerly Landfill Energy Systems); SouthTex Treaters, LLC</t>
  </si>
  <si>
    <t>Creates high BTU RNG injected into the pipeline infrastructure; uses a modified Selexol-type scrubbing system</t>
  </si>
  <si>
    <t xml:space="preserve">Big Run Project at Boyd County Sanitary Landfill </t>
  </si>
  <si>
    <t xml:space="preserve">Archaea accuired upgrading facility and gas rights from  Ultra Capital-owned Big Run Power Producers.  Rumpke of Ohio acquired landfill in 2019. WM operates it </t>
  </si>
  <si>
    <t>Boyd</t>
  </si>
  <si>
    <t>Facility construction began April 2018, LMOP 2021 Project start date 9/13/20</t>
  </si>
  <si>
    <t>Archaea (latest), Big Run Power Producers (original)</t>
  </si>
  <si>
    <t>All gas going into pipeline to earn enviro attributes. Waste 360 6/10/21 Revamped by Rumpke and Archaea in 2019-2020</t>
  </si>
  <si>
    <t>None</t>
  </si>
  <si>
    <t>Outer Loop</t>
  </si>
  <si>
    <t>Landfill, Waste Management</t>
  </si>
  <si>
    <t>Jefferson</t>
  </si>
  <si>
    <t>Creates high BTU RNG injected into the pipeline infrastructure. Capacity 5000 scfm LFG.</t>
  </si>
  <si>
    <t>Jefferson Davis Parish Landfill</t>
  </si>
  <si>
    <t>Jefferson Davis Parish Sanitary Landfill Commission</t>
  </si>
  <si>
    <t>Jefferson Davis</t>
  </si>
  <si>
    <t>LA</t>
  </si>
  <si>
    <t>Morrow Renewables, LLC</t>
  </si>
  <si>
    <t>Physical solvent process with patented enhancements and catalytic oxygen removal - removes CO2, H2O, H2S, siloxanes, and other impurities from LFG. Creates high BTU RNG injected into the pipeline infrastructure for use as vehicle fuel</t>
  </si>
  <si>
    <t>Keithville (Republic, Element Markets)</t>
  </si>
  <si>
    <t xml:space="preserve">Landfill, Republic Services </t>
  </si>
  <si>
    <t>Mas Energy, University of California</t>
  </si>
  <si>
    <t>Uses pressure swing adsorption upgrading technology. Gas is injected into common carrier for use in vehicle fuels market</t>
  </si>
  <si>
    <t xml:space="preserve">http://riverbirchlandfill.com/energy.asp. https://www.arb.ca.gov/fuels/lcfs/2a2b/apps/sdm-rvb-cng-rpt-123015.pdf  https://www.eventscribe.com/2020/ACEVIRTUAL/fsPopup.asp?efp=SlJUWEJSWkExMTIwMw&amp;PresentationID=737063&amp;rnd=0.9898586&amp;mode=presinfo  https://www.atmosenergy.com/esg/environment/renewable-natural-gas  </t>
  </si>
  <si>
    <t>River Birch, Inc.</t>
  </si>
  <si>
    <t>River Birch, Inc.; Keystone Renewable Energy, LLC</t>
  </si>
  <si>
    <t>http://biocng.us/projects/st-landry-parish-landfill-gas-energy-project/   http://www.tetratech.com/en/projects/st-landry-parish-landfill-biocng-project-louisiana   https://www.epa.gov/sites/production/files/2016-05/documents/05_k_martin_presentation.pdf  https://wasteadvantagemag.com/st-landry-parish-solid-waste-disposal-district-turning-landfill-gas-into-biofuel/   https://www.csmonitor.com/Environment/2021/0712/Trash-talk-Are-waste-to-energy-plants-a-sustainable-solution</t>
  </si>
  <si>
    <t>St. Landry Parish Landfill</t>
  </si>
  <si>
    <t>St. Landry Parish Solid Waste Disposal District</t>
  </si>
  <si>
    <t xml:space="preserve">St. Landry </t>
  </si>
  <si>
    <t>BioCNG; St. Landry Parish Solid Waste Disposal District</t>
  </si>
  <si>
    <t xml:space="preserve">Waste Connections Timberlane </t>
  </si>
  <si>
    <t>Waste Connections</t>
  </si>
  <si>
    <t>Allen</t>
  </si>
  <si>
    <t>April 2019?</t>
  </si>
  <si>
    <t xml:space="preserve">Waste Connections, AIr Liquide </t>
  </si>
  <si>
    <t xml:space="preserve">Membrane technology. </t>
  </si>
  <si>
    <t>http://www.nthconsultants.com/richfield-sanitary-landfill.html  http://www.mlive.com/news/flint/index.ssf/2014/04/potential_buyer_of_richfield_l.html  http://www.mlive.com/news/flint/index.ssf/2012/11/state_deq_official_says_new_ri.html</t>
  </si>
  <si>
    <t>Richfield Landfill ("Blue Sky") (Blue Skies Energy)</t>
  </si>
  <si>
    <t>Richfield Landfill, Inc.</t>
  </si>
  <si>
    <t xml:space="preserve">Not available </t>
  </si>
  <si>
    <t>Genesee</t>
  </si>
  <si>
    <t>Blue Skies Energy, LLC</t>
  </si>
  <si>
    <t>Uses UOP Separex Membrane Technology to create pipeline quality natural gas from LFG. Aria Energy buying all output.</t>
  </si>
  <si>
    <t>Riverview Land Preserve</t>
  </si>
  <si>
    <t>City of Riverview</t>
  </si>
  <si>
    <t>Wayne</t>
  </si>
  <si>
    <t>May 2013</t>
  </si>
  <si>
    <t>BioCNG</t>
  </si>
  <si>
    <t>BioCNG system fuels 7 city vehicles and an AT&amp;T fleet.100 cfm LFG yields 450-500 GGE/day CNG for City vehicles</t>
  </si>
  <si>
    <t>6.4 MW</t>
  </si>
  <si>
    <t>Clean Energy Fuels</t>
  </si>
  <si>
    <t>(2) Totara+ LFG upgrading systems ("water wash"). Creates high BTU RNG injected into the pipeline infrastructure and distributed by DTE Gas; RNG also distributed for vehicle fuel use to Republic Services natural gas fleets. When fully operational project should supply 6 million diesel GGE per year</t>
  </si>
  <si>
    <t>Waste Management Woodland Meadows (WM, Ameresco)</t>
  </si>
  <si>
    <t>Landfill: Waste Management of Michigan; Upgrading system, Ameresco Woodland Meadows Romulus</t>
  </si>
  <si>
    <t>Q1 2019</t>
  </si>
  <si>
    <t>Ameresco</t>
  </si>
  <si>
    <t xml:space="preserve">LFG collection system is pulling gas from three adjoining landfills, including one that is closed. Ameresco upgrading operation using PSA technology to upgrade gas to pipeline quality. Put into pipeline for ultimate use by vehicles. Producing 3500 MMBTU per day. </t>
  </si>
  <si>
    <t>DTE Energy</t>
  </si>
  <si>
    <t>Westside Recycling and Disposal Facility (WM, DTE Biomass Energy)</t>
  </si>
  <si>
    <t>Landfill, Waste Management; biogas and upgrading operations, DTE Biomass Energy</t>
  </si>
  <si>
    <t>St. Joseph</t>
  </si>
  <si>
    <t>DTE Biomass Energy, Waste Management</t>
  </si>
  <si>
    <t xml:space="preserve">Creates High Btu RNG that’s injected into the Consumers Energy pipeline and sold to a third party to be dispensed into CNG/LNG vehicles. Uses Kryosol upgrading process. </t>
  </si>
  <si>
    <t>North East Mississippi Regional Landfill (Air Liquide)</t>
  </si>
  <si>
    <t xml:space="preserve">Landfill, Northeast Mississipi Solid Waste Mangement Authority; upgrading operation, Air Liquide </t>
  </si>
  <si>
    <t>MS</t>
  </si>
  <si>
    <t>Air Liquide</t>
  </si>
  <si>
    <t>Using gas separation membrane technology. 1300 mmbtu/day with plans to expand.</t>
  </si>
  <si>
    <t xml:space="preserve">Billings Regional Landfill </t>
  </si>
  <si>
    <t>City of Billings</t>
  </si>
  <si>
    <t>Yellowstone</t>
  </si>
  <si>
    <t>MT</t>
  </si>
  <si>
    <t>Montana-Dakota Utilities Co.; LFG Technologies, Inc.</t>
  </si>
  <si>
    <t xml:space="preserve">Creates high BTU RNG injected into the pipeline infrastructure. Also fuels 14 CNG sanitation trucks. Air Liquide process for upgrade to 2,300 scfm of high Btu gas; uses combination of pressure swing adsorption and membrane technology. Guild PSA Stage #1 system removes water vapor, H2S, siloxanes, non-methane hydrocarbons, organic halides, and CO2; Molecular Gate PSA Stage #2 system removes nitrogen; tail gas is 46% CH4 and used in a genset to provide power to the facility
</t>
  </si>
  <si>
    <t>Butler</t>
  </si>
  <si>
    <t>Aria Energy (as TImerlane Energy)</t>
  </si>
  <si>
    <t xml:space="preserve">1000 SCFM LFG to RNG project. Gas piped to boilers at Henningsen Foods and to Constellation vehele fueling stations. </t>
  </si>
  <si>
    <t>Douglas County Landfill-- State Street (BioResource Development)</t>
  </si>
  <si>
    <t>Douglas County Environmental Services</t>
  </si>
  <si>
    <t>Douglas</t>
  </si>
  <si>
    <t>BioResource Development</t>
  </si>
  <si>
    <t>Cleans LFG so that the methane can be injected into a natural gas pipeline. Using proprietary gas upgrading technology. 3-mile, 2-inch polyamide 11 (PA11) pipeline made of a thermoplastic resin (derived from a bio-renewable source) to withstand pressure of up to 200 psi, transports LFG to utility’s 12-inch gas main in Omaha that feeds its liquefaction facility</t>
  </si>
  <si>
    <t>Sarpy County Landfill, BioResource Development N1</t>
  </si>
  <si>
    <t>Landfill, Sarpy County; gas upgrading, BioResource Development</t>
  </si>
  <si>
    <t>LANDFILL CLOSED</t>
  </si>
  <si>
    <t>Sarpy</t>
  </si>
  <si>
    <t>Q2 2018</t>
  </si>
  <si>
    <t xml:space="preserve">BioResource Development LLC; US GAIN? </t>
  </si>
  <si>
    <t>Renewable natural gas plant designed to remove H2S, VOCs, Siloxanes, moisture, CO2 and N2 prior to injecting process gas directly into the local utility 200psi natural gas pipeline.</t>
  </si>
  <si>
    <t>http://freshkillspark.org/landfill-engineering/monitoring    http://freshkillspark.org/the-park/landfill-engineering    http://freshkillspark.org/landfill-engineering/collection-and-processing</t>
  </si>
  <si>
    <t>Fresh Kills Landfill (Montauk)</t>
  </si>
  <si>
    <t>New York City Department of Sanitation</t>
  </si>
  <si>
    <t xml:space="preserve">Landfill closed </t>
  </si>
  <si>
    <t>Richmond</t>
  </si>
  <si>
    <t>NY</t>
  </si>
  <si>
    <t>Montauk Energy Capital, Air Products</t>
  </si>
  <si>
    <t>Creates high BTU RNG injected into the National Grid pipeline infrastructure; uses Selexol technology</t>
  </si>
  <si>
    <t>Progressive Waste Solutions Ltd.</t>
  </si>
  <si>
    <t>Seneca</t>
  </si>
  <si>
    <t xml:space="preserve">LFG-to-RNG plant; initially 3,000 cfm LFG inlet / 1,425 cfm RNG outlet; design capacity is 6,000 cfm LFG inlet; uses Air Liquide-MEDAL system; end uses of piped gas include electricity generation at NG power plant and by fuel cells, CNG production. </t>
  </si>
  <si>
    <t>18.5MW via reciprocating engines</t>
  </si>
  <si>
    <t>http://americanlandfill.wm.com/facility-information/index.jsp   http://americanlandfill.wm.com/facility-information/landfill-gas-to-energy.jsp 
http://blog.cleveland.com/business/2008/12/roadell_hickman_the_plain_deal.html  https://www.wmsolutions.com/pdf/factsheet/AmericanLandfill.pdf</t>
  </si>
  <si>
    <t>American (WM)</t>
  </si>
  <si>
    <t>WM Renewable Energy</t>
  </si>
  <si>
    <t>Waste Management</t>
  </si>
  <si>
    <t>2000 MMBTU/day RNG to pipeline project</t>
  </si>
  <si>
    <t>APEX Sanitary Landfill (Apex, Montauk)</t>
  </si>
  <si>
    <t>Landfill, APEX Environmental, LLC. Upgrading, Montauk Energy</t>
  </si>
  <si>
    <t>Element Markets, LLC</t>
  </si>
  <si>
    <t>Solid Waste Authority of Central Ohio</t>
  </si>
  <si>
    <t xml:space="preserve">High BTU-LFG is injected into the NG pipeline with a contract to Sacramento Municipal Utility District. 300 cfm LFG is cleaned via CO2 Wash® equipment to create 800-1,000 gasoline gallon equivalents per day of CNG for use in SWACO &amp; other area fleets.
</t>
  </si>
  <si>
    <t>Noble Road Landfill</t>
  </si>
  <si>
    <t>Richland</t>
  </si>
  <si>
    <t>October 2021</t>
  </si>
  <si>
    <t xml:space="preserve">Fortistar, Rumpke, Chesapeake Utilities Corp. </t>
  </si>
  <si>
    <t xml:space="preserve">The project will extract and capture waste methane from the Noble Road landfill in Ohio and transform it into RNG, which will be distributed through  Chesapeake Utilities Corporation affiliate Aspire Energy’s pipelines. The fuel will be dispensed at natural gas fueling stations via Trustar Energy, a Fortistar company. Project will capture the equivalent of 49,940 tons of carbon dioxide, per year and produce RNG and will produce the equivalent of 6.9 million gallons of gasoline per year. WIll use membrane upgrading technology provided by Air Liquide. Overall project cost $33 million. </t>
  </si>
  <si>
    <t xml:space="preserve">Not at this time </t>
  </si>
  <si>
    <t xml:space="preserve">Pinnacle Road Landfill (North Sanitary Landfill) (WM, DTE Biomass Energy) 
</t>
  </si>
  <si>
    <t>Landfill, Waste Management, Inc.; upgrading project, DTE BIomass Energy</t>
  </si>
  <si>
    <t>650 tpd</t>
  </si>
  <si>
    <t>Waste Management, DTE Biomass Energy, Inc.</t>
  </si>
  <si>
    <t>Creates high BTU RNG injected into the pipeline infrastructure; uses Kryosol (methanol) technology; combined facility with Stony Hollow, with Pinnacle Road Landfill providing about 30% LFG flow to project. Total, 4.5 MMCFD LFG. All figures on this project based on 30%. Gas processing equipment removes CO2 to produce methane meeting NG pipeline quality specifications; uses Kyrosol Solvent technology</t>
  </si>
  <si>
    <t>https://www.rumpke.com/docs/default-document-library/rslfactsheet.pdf     https://www.rumpke.com/newsroom/article/2011/10/04/rumpke-fuels-fleet-with-garbage  https://www.egovlink.com/public_documents300/colerain/published_documents/Rumpke/Gas-to-pipeline%20fact%20sheet_Jan10.pdf   http://montaukenergy.com/operations/rumpke-sanitary-landfill/</t>
  </si>
  <si>
    <t>Rumpke Sanitary Landfill</t>
  </si>
  <si>
    <t>Rumpke Consolidated Companies</t>
  </si>
  <si>
    <t>Hamilton</t>
  </si>
  <si>
    <t>1986, expansions in 1995 and 2007</t>
  </si>
  <si>
    <t>GSF Energy; Montauk Energy Capital</t>
  </si>
  <si>
    <t>All RNG goes into Duke Energy Pipeline, though some of it is immediately re-directed back to site for use by 125 trucks of various types in Rumpke fleet. Adding about 20 trucks per year. Have added fast-fill station to existing time-fill station. GSF energy manages gas recovery. LFG blended with NG for delivery to NG customers; Pretreatment: non-methane hydrocarbon removal via chilling &amp; activated carbon absorption, 2 compressors driven by 700 HP electric motors, uses QuestAir pressure swing absorption technology</t>
  </si>
  <si>
    <t>http://stonyhollowlandfill.com/  http://www.mitchellwilliamslaw.com/landfill-gas-emissions/common-law-action-us-district-court-addresses-motion-to-dismiss</t>
  </si>
  <si>
    <t>Stony Hollow Landfill (WM, DTE Biomass Energy)</t>
  </si>
  <si>
    <t>Landfill, Waste Management, Inc.; upgrading project, DTE Biomass Energy</t>
  </si>
  <si>
    <t>Creates high BTU RNG injected into the pipeline infrastructure; uses Kryosol (methanol) technology; combined facility with Pinnacle Road Landfill, with Stony Hollow Landfill providing about 70% LFG flow to project. All figures on this project based on 70%.  Gas processing equipment removes CO2 to produce methane meeting NG pipeline quality specifications; uses Kryosol Solvent technology</t>
  </si>
  <si>
    <t>Oklahoma</t>
  </si>
  <si>
    <t>April 2008</t>
  </si>
  <si>
    <t>Timberline Energy (rolled up into Aria Energy)</t>
  </si>
  <si>
    <t>Creates high BTU RNG compressed and delivered to the Southern Star pipeline. 3 MMSCFD facility removes water, H2S, and organic compounds from the LFG, then removes CO2 in a 2-stage Air Liquide membrane separator. Flow to project, ~2000 SCFM.</t>
  </si>
  <si>
    <t>Aria Energy (through our Mavrix JV)</t>
  </si>
  <si>
    <t>3000 SCFM LFG to RNG project. RNG to pipeline, with BP promising to use equivilent amount of NG for vehicles, claim renewable fuels tax credits. Capacity 624,150 MMBtu/year</t>
  </si>
  <si>
    <t>http://www.lynxrenewableenergy.com/ 
https://applications.deq.ok.gov/permitspublic/storedpermits/4455.pdf</t>
  </si>
  <si>
    <t>Southern Oklahoma Regional Disposal Landfill</t>
  </si>
  <si>
    <t>Southern Oklahoma Regional Disposal</t>
  </si>
  <si>
    <t xml:space="preserve">Lynx Renewable Energy </t>
  </si>
  <si>
    <t xml:space="preserve">CO2 scrubbers, oxygen removal, activated carbon. </t>
  </si>
  <si>
    <t>Advanced Disposal Services Greentree Landfill, LLC (Advanced Disposal, Fortistar)</t>
  </si>
  <si>
    <t>Advanced Disposal Services owns landfill,  Fortistar owns upgrading facility (baught from  EDF Renewables)</t>
  </si>
  <si>
    <t>Elk</t>
  </si>
  <si>
    <t>enXco LFG Holdings, LLC; American Exploration; Beacon Generating, LLC</t>
  </si>
  <si>
    <t xml:space="preserve">Plant capacity is 15.12 mmscfd, cleaning: Air Liquide membrane technology, PSA and activated carbon pretreatment system Fortistar to take upgraded gas, use it for vehicle fuel through TruStar.  With their other new aquisition Greentree  Landfill Gas, the company can produce 1.5 million mmbtu of RNG per year.   Greentree provides 55% of total production. Together, an extra 107,485 metric tons of CO2 per year avoided from use in vehicles.  </t>
  </si>
  <si>
    <t>VEHICLE FUEL (Local)</t>
  </si>
  <si>
    <t>Imperial Sanitary Landfill (Republic, Fortistar)</t>
  </si>
  <si>
    <t>Allegheny</t>
  </si>
  <si>
    <t>enXco LFG Holdings, LLC</t>
  </si>
  <si>
    <t xml:space="preserve">Fortistar to take upgraded gas, use it for vehicle fuel through TruStar.  With their other new aquisition Greentree  Landfill Gas, the company can produce 1.5 million mmtbu of RNG per year.  Imperial provides 45% of total production. Together, an extra 107,485 metric tons of CO2 per year avoided from use in vehicles. </t>
  </si>
  <si>
    <t xml:space="preserve">All exported for electricity. </t>
  </si>
  <si>
    <t>Laurel Highlands Landfill (WM, Montauk Energy)</t>
  </si>
  <si>
    <t>Waste Management, Inc. Upgrading operation: Montauk Energy</t>
  </si>
  <si>
    <t>Cambria</t>
  </si>
  <si>
    <t>Keystone Renewable Energy, LLC (original); Leaf Clean Energy; Air Liquide-MEDAL</t>
  </si>
  <si>
    <t>Creates high BTU RNG injected into the pipeline infrastructure without contract. All ouput being purchased by Aria</t>
  </si>
  <si>
    <t xml:space="preserve">Monroeville Landfill (WM) </t>
  </si>
  <si>
    <t>Montauk Energy Capital</t>
  </si>
  <si>
    <t>Creates high BTU RNG injected into the pipeline infrastructure using membrane technology. Capacity:  2370 MMBtu/day</t>
  </si>
  <si>
    <t>Seneca Landfill</t>
  </si>
  <si>
    <t>Vogel Holdings, Inc.</t>
  </si>
  <si>
    <t>Keystone Renewable Energy, LLC; RenewCo</t>
  </si>
  <si>
    <t>Public</t>
  </si>
  <si>
    <t>300kW on-site generation</t>
  </si>
  <si>
    <t>Shade Landfill (WM, Montauk)</t>
  </si>
  <si>
    <t>Waste Management, Inc., Montauk Energy Capital</t>
  </si>
  <si>
    <t>Somerset</t>
  </si>
  <si>
    <t>Keystone Renewable Energy, LLC (original); Leaf Clean Energy; RenewCo</t>
  </si>
  <si>
    <t>Creates high BTU RNG injected into the pipeline infrastructure. 12-mi pipeline from Shade LF and 2.5-mi pipeline from Southern Alleghenies LF deliver 970 Btu gas; uses membrane technology; total delivery to pipeline from both landfills is 650,000 MMBtu/yr.  Has capacity to process 1120 MMBTU/day of RNG</t>
  </si>
  <si>
    <t>Southern Alleghenies Landfill (WM, Montauk)</t>
  </si>
  <si>
    <t>Montauk Energy Capital, Waste Management, Inc.</t>
  </si>
  <si>
    <t>Keystone Renewable Energy, LLC; Leaf Clean Energy</t>
  </si>
  <si>
    <t>Creates high BTU RNG injected into the pipeline infrastructure. 12-mi pipeline from Shade LF and 2.5-mi pipeline from Southern Alleghenies LF deliver 970 Btu gas; uses Air Liquide membrane separation technology; total delivery to pipeline from both landfills is 650,000 MMBtu/yr.  Based on Shade capcity, facilty produces 858 MMBTU/day RNG</t>
  </si>
  <si>
    <t>Valley Landfill</t>
  </si>
  <si>
    <t>Landfill, Waste Management; Upgrading System, Valley LFG LLC</t>
  </si>
  <si>
    <t>Westmoreland</t>
  </si>
  <si>
    <t>Creates high BTU RNG injected into the pipeline infrastructure. Capacity fro 2370 MMBTU/day</t>
  </si>
  <si>
    <t>Westmoreland County Sanitary Landfill</t>
  </si>
  <si>
    <t xml:space="preserve">Noble Environmental </t>
  </si>
  <si>
    <t>Noble Environmental, LLC</t>
  </si>
  <si>
    <t xml:space="preserve">Uses PSA upgrading technology. Injected  into Common Carrier for use in the Vehicle Fuels Market. Some gas also being used to fuel refuse trucks on site. </t>
  </si>
  <si>
    <t>Carter Valley Landfill</t>
  </si>
  <si>
    <t xml:space="preserve">Landfill, Republic Services. Based on EPA Part 80 documents, facility is owned by US Venture, owner of US GAIN natural gas fueling </t>
  </si>
  <si>
    <t>Hawkins</t>
  </si>
  <si>
    <t>TN</t>
  </si>
  <si>
    <t>Tengasco</t>
  </si>
  <si>
    <t>Creates high BTU RNG injected into the pipeline infrastructure. 2.5-mile pipeline to existing NG pipeline; uses membrane technology.</t>
  </si>
  <si>
    <t>Meadow Branch Landfill (Waste Connections)</t>
  </si>
  <si>
    <t>Landfill, Waste Connections, Inc.; upgrading, Southern Company Gas</t>
  </si>
  <si>
    <t>McMinn</t>
  </si>
  <si>
    <t>Renewco LLC; Keystone Renewable Energy, LLC</t>
  </si>
  <si>
    <t xml:space="preserve">Creates high BTU RNG injected into the pipeline infrastructure with end user contracts. 9.5-mile, 4-inch steel pipeline delivers ~1,000 MMBtu/day initially; refrigeration, PSA, carbon filtration, membrane separation, Air Liquide-Medal Biogaz System clean LFG to pipeline quality standards.  340,000 MMBTU/year in 2020. Gas to go to SCG customers through pipeline, and to SCG's fleet. </t>
  </si>
  <si>
    <t>9/20/2014</t>
  </si>
  <si>
    <t xml:space="preserve">High-BTU plant, with product to be injected into the natural gas grid, some contracts but there is some that gets to transportation throught two MLGW CNG fueling stations. Plant is anticipated to produce ~4 million DGE of renewable natural gas fuel annually, steadily increasing to more than 5.7 million DGE annually during the first 10 years of operations. Uses pressure swing adsorption (PSA) upgrading technology. </t>
  </si>
  <si>
    <t>Landfill, Republic Services; upgrading, Aria Energy (through our Mavrix JV)</t>
  </si>
  <si>
    <t>Shelby</t>
  </si>
  <si>
    <t>Q3 2020</t>
  </si>
  <si>
    <t xml:space="preserve">6000 SCFM LFG to RNG project.  Accroding to Wste Today, can produce 33250 GGE daily, selling to BP who will take it to California market, also selling to utilities who want to offer their customers options. </t>
  </si>
  <si>
    <t>Atascocita/Humble (WM, Montauk)</t>
  </si>
  <si>
    <t xml:space="preserve">Landfill, Waste Management; upgrading, Montauk Energy </t>
  </si>
  <si>
    <t>Harris</t>
  </si>
  <si>
    <t>Q2 2019</t>
  </si>
  <si>
    <t>Using membrane separation upgrading technology</t>
  </si>
  <si>
    <t>Coastal Plains RNG</t>
  </si>
  <si>
    <t xml:space="preserve">Landfill, Waste Management; upgrading facility, Montauk Energy </t>
  </si>
  <si>
    <t>Galveston</t>
  </si>
  <si>
    <t xml:space="preserve">Montauk, Waste Management </t>
  </si>
  <si>
    <t>Coastal Plains is currently one of Montauk's landfill gas-to-electric facilities in the Houston metropolitan area that they will be converting to a Renewable Natural Gas (RNG) facility. They currently own and operate the landfill gas-to-electric power generation facility on the Coastal Plains, Waste Management landfill. They will be upgrading the plant to design, own and operate the gas processing facility. Using BioFerm two-stage PSA gas upgrading system. Montauk will design, own and operate the gas processing facility. Montauk website says 1857 MMBTU/day. Montauk investor presentation says 1,775 MMBTU/day</t>
  </si>
  <si>
    <t>http://www.wastedive.com/news/morrow-energy-steps-in-to-help-texas-city-get-wte-plant/406302/ https://cityofedinburg.com/departments/solid_waste_management_landfill/landfill_high_btu_project.php</t>
  </si>
  <si>
    <t>Edinburg Landfill (Morrow)</t>
  </si>
  <si>
    <t>City of Edinburg. TX</t>
  </si>
  <si>
    <t>Hidalgo</t>
  </si>
  <si>
    <t>Morrow Renewables</t>
  </si>
  <si>
    <t>Upgrading system is Solexol style modified physical solvent</t>
  </si>
  <si>
    <t>Fort Bend Regional Landfill (DTE Biomass Energy)</t>
  </si>
  <si>
    <t xml:space="preserve">Landfill, Waste Corporation of Texas, LLC; gas upgrading, DTE Biomass Energy </t>
  </si>
  <si>
    <t>Fort Bend</t>
  </si>
  <si>
    <t>Jun-13</t>
  </si>
  <si>
    <t>DTE Biomass Energy, Inc.; Enerdyne Power Systems, Inc.; Morrow Renewables, LLC</t>
  </si>
  <si>
    <t xml:space="preserve">Treats landfill gas using Selexol technology to be used by GHI Energy in the transportation fuel markets and pumped into a pipeline for public use. Physical solvent process with patented enhancements and catalytic oxygen removal to remove CO2, H2O, H2S, siloxanes, and other impurities. Gas sent down pipeline for use by 3rd party as vehicle fuel. Fall 2017, upgrade to double plant capacity to 8.0 Million SCFD inlet LFG flow. LMOP lists LFG flow to project  as 2.54 mmscfd.  Project built by Enerdyne, acquired in 2017 by DTE. </t>
  </si>
  <si>
    <t xml:space="preserve">Galveston County Landfill </t>
  </si>
  <si>
    <t>Landfill, Republic Services; upgrading facility, Montauk Energy</t>
  </si>
  <si>
    <t>September 2019</t>
  </si>
  <si>
    <t>Montauk Energy, Republic Services</t>
  </si>
  <si>
    <t>The Galveston landfill is owned and operated by Republic Services in Galveston, Texas. Montauk operate the landfill gas collection system and is the owner and operator of the gas processing facility. Gas upgrading is BioFerm, possible combination of PSA, TSA, activated carbon. 1857 mmbtu/day</t>
  </si>
  <si>
    <t>Greenwood Farms Landfill/Tyler (Morrow "East Texas")</t>
  </si>
  <si>
    <t>Landfill owned by City of Tyler, operated by Republic Services. Energy facility owned by Morrow Renewables</t>
  </si>
  <si>
    <t>Smith</t>
  </si>
  <si>
    <t xml:space="preserve">Creates high BTU RNG injected into the pipeline infrastructure; landfill truck fleet powered by on-site CNG refueling station. Physical solvent process with patented enhancements to remove CO2, H2O, H2S, siloxanes, and other impurities from LFG; gas used down the pipeline for vehicle fuel. </t>
  </si>
  <si>
    <t>McCarty Road Landfill (Republic, Montauk)</t>
  </si>
  <si>
    <t>McCommas Bluff Landfill (Energy Power Partners)</t>
  </si>
  <si>
    <t xml:space="preserve">City of Dallas, Energy Power Partners </t>
  </si>
  <si>
    <t>Dallas</t>
  </si>
  <si>
    <t>Cambrian Energy Development, Clean Energy Fuels</t>
  </si>
  <si>
    <t>Creates high BTU RNG injected into the pipeline infrastructure. Original gas cleaning equipment included: SulfaTreat, temperature swing adsorption (TSA), pressure swing adsorption (PSA) for CO2 removal, and thermal oxidizer. Facility capacity: inlet 15.5 mmscfd raw LFG is capable of producing 9,000 MMBtu/day of renewable natural gas; the RNG is predominantly used to produce renewable electric power by a municipal utility in California.</t>
  </si>
  <si>
    <t>North Texas Municipal Water District, Melissa ("NTMWD") (Morrow)</t>
  </si>
  <si>
    <t>Landfill, North Texas Water District; upgrading operation, Morrow Renewables</t>
  </si>
  <si>
    <t>Collin</t>
  </si>
  <si>
    <t>Physical solvent process with patented enhancements and catalytic oxygen removal - removes CO2, H2O, H2S, siloxanes, and other impurities from LFG; gas is transported 5.5 miles and sold into adjoining natural gas pipeline</t>
  </si>
  <si>
    <t>Pine Hill/Longview (Kilgore) (Morrow)</t>
  </si>
  <si>
    <t>Plant can generate 404.7 million cubic feet of renewable natural gas per year</t>
  </si>
  <si>
    <t>https://www.arlingtontx.gov/city_hall/departments/garbage_recycling/garbage_disposal/landfill  https://bioenergyinternational.com/biogas/american-biogas-council-announces-2019-biogas-award-winners  https://www.businesswire.com/news/home/20210720005989/en/CIM-Group-Invests-in-Affiliate-of-MAS-Energy-Renewable-Natural-Gas-Developer
https://www.arlingtontx.gov/news/my_arlington_t_x/news_stories/biogas_honor
https://usgasvehicles.com/en/rng-coalition-celebrates-new-2019-production-facilities-to-open-rng-2019-conference/</t>
  </si>
  <si>
    <t xml:space="preserve">Mas Energy </t>
  </si>
  <si>
    <t>Tarrant</t>
  </si>
  <si>
    <t xml:space="preserve">Since 1999, the City of Arlington has had an agreement with Renovar Arlington Ltd. to operate and maintain the landfill gas collection and control system. Renovar’s newly-constructed renewable natural gas facility collects biogases in Arlington and Fort Worth to be processed and sold for transportation fuel. Is it taking all the output form both sites? According to LMOP, electricity production at Fort Worth has been shut down, so assuming that all gas from there is flowing to Renovar. 5100 scfm RNG. </t>
  </si>
  <si>
    <t>Stopped electricity production</t>
  </si>
  <si>
    <t>http://blueridgelandfill.com/  http://site.republicservices.com/corporate/planet/renewableenergy/landfill-gas-energy.aspx   https://morrowenergy.com/where-we-operate.html</t>
  </si>
  <si>
    <t>Republic Services Blue Ridge Landfill ("Houston") (Morrow)</t>
  </si>
  <si>
    <t xml:space="preserve">Physical solvent process with patented enhancements and catalytic oxygen removal - removes CO2, H2O, H2S, siloxanes, and other impurities from LFG; gas is transported and sold into adjoining natural gas pipeline. 2020, according to LMOP a boiler project that was consuming 4.32 MMSCFD was shut down in 2018, increasing gas flow to RNG project. Currently processing 8,0000 scfm LFG with room for a total of 13,000 scfm. Capacity expected to grow each year, final gathering system will have a capacity of 30,000 scfm LFG in 45 years. </t>
  </si>
  <si>
    <t>http://www.seabreezelandfill.com/  http://www.wasteconnectionsangleton.com/landfill  http://newsroom.dteenergy.com/2017-05-25-DTE-Biomass-Acquires-Renewable-Natural-Gas-Facilities#sthash.pxgaKaX9.dpbs</t>
  </si>
  <si>
    <t>Seabreeze Environmental Landfill (Seabreeze, DTE Biomass)</t>
  </si>
  <si>
    <t xml:space="preserve">Seabreeze Environmental; gas upgrading, DTE Biomass Energy </t>
  </si>
  <si>
    <t>Brazoria</t>
  </si>
  <si>
    <t>DTE Biomass Energy, Inc.,. Waste Connections, Inc.</t>
  </si>
  <si>
    <t>Biomethane will be sent down the pipeline for use as vehicle fuel by a third party.  Upgrading done by physical solvent process with patented enhancements and catalytic oxygen removal to remove CO2, H2O, H2S, siloxanes, and other impurities from LFG</t>
  </si>
  <si>
    <t>https://ensoplastics.com/theblog/?p=3069  https://www.scsengineers.com/scs-project-case-stu/scs-energy-lfg-to-pipeline-rng-plant-in-texas/</t>
  </si>
  <si>
    <t>Skyline Landfill</t>
  </si>
  <si>
    <t>Ellis</t>
  </si>
  <si>
    <t>Feb. 2020</t>
  </si>
  <si>
    <t>Creates high BTU RNG injected into the pipeline infrastructure</t>
  </si>
  <si>
    <t>EDL</t>
  </si>
  <si>
    <t>https://wastebits.com/locator/location/tessman-road-landfill  https://ofmpub.epa.gov/frs_public2/fii_query_detail.disp_program_facility?p_registry_id=110002371781   https://sanantonioreport.org/waste-gas-from-landfill-will-offset-up-to-75-of-vias-bus-fuel-demand/</t>
  </si>
  <si>
    <t>Tessman Road (Coalition database)</t>
  </si>
  <si>
    <t xml:space="preserve">Republic Services </t>
  </si>
  <si>
    <t>Bexar, Medina, Comal</t>
  </si>
  <si>
    <t>Fall 2021</t>
  </si>
  <si>
    <t>Republic Services, EDL</t>
  </si>
  <si>
    <t xml:space="preserve">RNG to pipeline with local bus refueling station (VIA) to buy the RINs. Will 'provide' RNG to 75% of the city's 500-bus fleet. All gas collected will go to upgrading project. </t>
  </si>
  <si>
    <t>https://www.wasteconnections.com/turkey-creek-landfill  http://www.prweb.com/releases/2012/10/prweb10047799.htm   https://morrowenergy.com/landfill-development.html#where-we-have-developed</t>
  </si>
  <si>
    <t>Turkey Creek Landfill/Alvarado (Morrow)</t>
  </si>
  <si>
    <t>IESI</t>
  </si>
  <si>
    <t>Physical solvent process with patented enhancements and catalytic oxygen removal - removes CO2, H2O, H2S, siloxanes, and other impurities from LFG. Gas is transported and sold into adjoining natural gas pipeline. According to Morrow website, Turkey Creek producing 3000 SCFM raw (?) gas</t>
  </si>
  <si>
    <t>http://kingcounty.gov/depts/dnrp/solid-waste/facilities/landfills/cedarhills.aspx    http://kingcounty.gov/depts/dnrp/solid-waste/facilities/landfills/landfill-gas.aspx https://www.epa.gov/sites/default/files/2021-02/documents/lmop_rng_document.pdf</t>
  </si>
  <si>
    <t>Cedar Hills Regional Landfill</t>
  </si>
  <si>
    <t>King County Solid Waste Division</t>
  </si>
  <si>
    <t>Bio Energy Washington</t>
  </si>
  <si>
    <t xml:space="preserve">Creates high BTU RNG injected into the pipeline infrastructure without end user contracts. Membrane technology cleans LFG to pipeline quality. </t>
  </si>
  <si>
    <t xml:space="preserve">240,000 MMBTU used on site in in 2018, not included in upgraded MMBTU or GGE/yr. </t>
  </si>
  <si>
    <t>http://www.klickitatpud.com/topicalMenu/about/powerResources/hwHillGasProject.aspx   https://thetrashblog.com/2013/05/20/roosevelt-ridge-gas-to-energy-facility/   http://local.republicservices.com/site/roosevelt  https://www.seattletimes.com/seattle-news/turning-trash-to-natural-gas-utilities-fight-for-their-future-amid-climate-change/
https://www.bioenergy-news.com/news/puget-sound-energy-signs-rng-purchase-agreement-with-klickitat-pud/</t>
  </si>
  <si>
    <t>Roosevelt Regional Landfill (Republic)</t>
  </si>
  <si>
    <t>Landfill, Republic Services, Inc. Gas upgrading, KPUD</t>
  </si>
  <si>
    <t>11.2.18</t>
  </si>
  <si>
    <t>KPUD</t>
  </si>
  <si>
    <t>Using Selexol, Amine and Cyrogenic NRU upgrading technologies. Began injecting gas into NW Natural pipeline 11.2.2018.</t>
  </si>
  <si>
    <t>20 MW CHP system taken offline when RNG production started</t>
  </si>
  <si>
    <t>http://biocng.us/wp-content/uploads/2015/06/Dane-County-Fact-Sheet-2015.pdf  http://host.madison.com/wsj/news/local/govt-and-politics/dane-county-leads-switch-to-selling-gas-made-by-manure/article_f235b17c-1477-5269-9446-ffa173df4d80.html https://landfill.countyofdane.com/services/Renewable-Natural-Gas  http://www.locicontrols.com/perch/resources/loci-expands-market-share.pdf</t>
  </si>
  <si>
    <t>Dane County Landfill #2 - Rodefeld (BioCNG)</t>
  </si>
  <si>
    <t>Dane County Public Works</t>
  </si>
  <si>
    <t>Madison</t>
  </si>
  <si>
    <t xml:space="preserve">Originally BioCNG; expanded project now in place BioFerm. </t>
  </si>
  <si>
    <t xml:space="preserve">Originally a small scale BioCNG project for about 30 county vehicles. Moved fuel facility, upgrade and expansion built by BioFerm went online 2019, producing vehicle fuel and pipeline gas. </t>
  </si>
  <si>
    <t>~1,050 scfm of LFG used to produce electricity</t>
  </si>
  <si>
    <t>http://www.psc.state.wv.us/press/2010/press_20101203.pdf  http://www.downstreamstrategies.com/documents/reports_publication/Prospects_for_landfill_gas-to-energy_WV_May2006.pdf</t>
  </si>
  <si>
    <t>City of Charleston Landfill (WM)</t>
  </si>
  <si>
    <t>WV</t>
  </si>
  <si>
    <t>Tallarico Energy</t>
  </si>
  <si>
    <t>Uses PSA upgrading technology. Injected  into Common Carrier for use in the Vehicle Fuels Market</t>
  </si>
  <si>
    <t>San Joaquin</t>
  </si>
  <si>
    <t>Republic Services; Ameresco</t>
  </si>
  <si>
    <t>4.3 MW</t>
  </si>
  <si>
    <t>Keller Canyon (Coalition database)</t>
  </si>
  <si>
    <t>Contra Costa</t>
  </si>
  <si>
    <t>New River RNG Project (New River Solid Waste Association, Fortistar Energy Group)</t>
  </si>
  <si>
    <t xml:space="preserve">Landfill, New River Solid Waste Association;  upgrading, Fortistar; fuel distribution Opal (Fortistar subsidiary) </t>
  </si>
  <si>
    <t>FL</t>
  </si>
  <si>
    <t>Fortistar, New River Solid Waste Association</t>
  </si>
  <si>
    <t>2500 SCFM LFG to RNG project</t>
  </si>
  <si>
    <t>Both</t>
  </si>
  <si>
    <t>Will County (WM Operating landfill, maybe not the RNG facility)</t>
  </si>
  <si>
    <t>Will</t>
  </si>
  <si>
    <t>Summer 2022</t>
  </si>
  <si>
    <t>Will County; (WM may operate, or a different third party, unknown as of July 2021)</t>
  </si>
  <si>
    <t xml:space="preserve">Conversion of LFG to electricity project to RNG. County has 10 year agreement with US Venture to buy RNG from the facility to sell as vehicle fuel. Estimated costs of upgrading system and pipeline $46 million. </t>
  </si>
  <si>
    <t>Rumpke Medora Landfill</t>
  </si>
  <si>
    <t xml:space="preserve">Landfill, Rumpke Waste and Recycling </t>
  </si>
  <si>
    <t>Jackson</t>
  </si>
  <si>
    <t>Q4 2021</t>
  </si>
  <si>
    <t>Rumpke, Archaea Energy</t>
  </si>
  <si>
    <t>1800 MMBtus/day for regional pipeline distribution</t>
  </si>
  <si>
    <t xml:space="preserve">Fortistar Pine Bend Landfill </t>
  </si>
  <si>
    <t>Landfill. Republic Services; RNG project, OPAL (Fortistar company)</t>
  </si>
  <si>
    <t>Dakota</t>
  </si>
  <si>
    <t>Fortistar, Republic</t>
  </si>
  <si>
    <t xml:space="preserve">Owner Caldwell County; managed by Republic Services </t>
  </si>
  <si>
    <t>Caldwell</t>
  </si>
  <si>
    <t>NC</t>
  </si>
  <si>
    <t xml:space="preserve">Landfill, Casella Waste Systems; Upgrading/gas, Liberty Utilities </t>
  </si>
  <si>
    <t xml:space="preserve">Grafton </t>
  </si>
  <si>
    <t>NH</t>
  </si>
  <si>
    <t>RUDARPA</t>
  </si>
  <si>
    <t>Landfill gas to pipeline quality gas  for transportation use</t>
  </si>
  <si>
    <t>tbd</t>
  </si>
  <si>
    <t>https://www.observertoday.com/news/local-region/2020/06/new-private-facility-proposed-at-county-landfill-to-convert-natural-gas-to-electricity/ ,  https://chqgov.com/sites/default/files/document-files/2020-06/6-24-20%20Agenda%20LEG.pdf</t>
  </si>
  <si>
    <t>Chautauqua Green Energy Landfill RNG Project</t>
  </si>
  <si>
    <t xml:space="preserve">Chautauqua Green Energy LLC (formed by EmKey Gathering LLC and Vireo Energy) </t>
  </si>
  <si>
    <t>Chautauqua</t>
  </si>
  <si>
    <t>Q1 2022</t>
  </si>
  <si>
    <t xml:space="preserve">Chautauqua Green Energy LLC </t>
  </si>
  <si>
    <t>Privately owned LFG upgrading facility on county landfill land, RNG for pipeline injection to vehicle fuel. 2500 scfm LFG</t>
  </si>
  <si>
    <t>East Oak Landfill</t>
  </si>
  <si>
    <t>https://wnep.com/2018/01/31/proposed-renewable-natural-gas-production-facility-would-reduce-landfill-biogas-emission/
https://www.meadowbrookenergy.com/
https://www.pahomepage.com/news/plans-unveiled-for-100-million-biogas-processing-facility/94742444 https://www.archaeaenergy.com/projects     https://renewablesnow.com/news/spac-to-create-listed-us-renewable-natural-gas-platform-with-usd-115bn-ev-737292/</t>
  </si>
  <si>
    <t>Assai at Keystone Sanitary Landfill (Archaea)</t>
  </si>
  <si>
    <t>Landfill, Keystone Sanitary Landfill, Inc.; gas upgrading project, Archaea (Meadowbrook Energy project fell through)</t>
  </si>
  <si>
    <t>Q3 2021</t>
  </si>
  <si>
    <t>Archaea</t>
  </si>
  <si>
    <t xml:space="preserve">Largest RNG Project in the world. Process LFG into 16,000 mcf per day of pipeline-ready gas and inject into UGI's high-pressure NG pipeline nearby. No mention of vehicle fuel in current project plan, but it is possible if UGI supplies any fueling stations. </t>
  </si>
  <si>
    <t>https://bethlehemlandfill.com/
http://progressivewaste.com/en/locations/bethlehem-landfill
https://www.wastetodaymagazine.com/article/dep-approves-bethlehem-landfill-expansion/
https://www.dep.pa.gov/Business/Land/Waste/SolidWaste/MunicipalWaste/Landfill-Methane-Outreach-Program/Pages/PA-Landfill-Methane-Projects.aspx https://www.wfmz.com/news/insideyourtown/lower-saucon-planners-approve-site-plan-for-renewable-gas-facility-at-bethlehem-landfill/article_a3c3dd2f-daf8-50e9-9af6-ffb286d7e722.html https://www.mcall.com/news/local/saucon-valley/mc-nws-lower-saucon-aria-energy-20190618-nzee6m2ixje2pmazdswg42ser4-story.html
https://www.mcall.com/news/local/saucon-valley/mc-nws-lower-saucon-aria-energy-20190618-nzee6m2ixje2pmazdswg42ser4-story.html</t>
  </si>
  <si>
    <t>Northampton</t>
  </si>
  <si>
    <t xml:space="preserve">Aria Energy </t>
  </si>
  <si>
    <t>3500 SCFM LFG to RNG project</t>
  </si>
  <si>
    <t>Twin Chimneys</t>
  </si>
  <si>
    <t>Twin Chimneys Power Producers</t>
  </si>
  <si>
    <t>Greenville</t>
  </si>
  <si>
    <t>SC</t>
  </si>
  <si>
    <t>Enerdyne/Advance One</t>
  </si>
  <si>
    <t>Bayview Landfill</t>
  </si>
  <si>
    <t>Landfill: Northern Utah Environmental Resource Agency (NUERA); South Utah Valley Solid Waste District; upgrading system, Pine Creek RNG</t>
  </si>
  <si>
    <t>Utah</t>
  </si>
  <si>
    <t xml:space="preserve">Pine Creek RNG; Trans-Jordan Cities; WRH Biogas </t>
  </si>
  <si>
    <t>Outagamie County Recycling and Solid Waste Landfill (county and Mas Energy)</t>
  </si>
  <si>
    <t>Mas Energy to pay construction costs and manage facility, county may still own the project.</t>
  </si>
  <si>
    <t>Outagamie</t>
  </si>
  <si>
    <t>Q4 2022</t>
  </si>
  <si>
    <t>Greenlane</t>
  </si>
  <si>
    <t>Conway</t>
  </si>
  <si>
    <t>3.8 MW</t>
  </si>
  <si>
    <t>Los Angeles</t>
  </si>
  <si>
    <t>2024?</t>
  </si>
  <si>
    <t>Archaea Energy</t>
  </si>
  <si>
    <t>Q3 2024</t>
  </si>
  <si>
    <t>Q1 2023</t>
  </si>
  <si>
    <t>6000 SCFM LFG to RNG project</t>
  </si>
  <si>
    <t>WM Twin Bridges Landfill</t>
  </si>
  <si>
    <t>Hendricks</t>
  </si>
  <si>
    <t>Kinetrex</t>
  </si>
  <si>
    <t>WM Liberty Landfill</t>
  </si>
  <si>
    <t>White</t>
  </si>
  <si>
    <t>Juniper Ridge Landfill</t>
  </si>
  <si>
    <t>State of Maine, landfill (operated by Casella); upgrading, Archaea</t>
  </si>
  <si>
    <t>Penobscot</t>
  </si>
  <si>
    <t>ME</t>
  </si>
  <si>
    <t>http://cambrianenergy.com/  http://www.northjersey.com/story/news/bergen/2016/09/29/methane-gas-collection-to-begin-again-at-1e-landfill/93030232/   http://www.savannahenergyllc.com/ https://www.epa.gov/sites/production/files/2017-07/underconsplannedlmopdata.xlsx  http://www.lowersaucontownship.org/lfminutes/tcc.3rdquarter2020.pdf</t>
  </si>
  <si>
    <t xml:space="preserve">Landfill 1-E (combined 1-C and Balefill) </t>
  </si>
  <si>
    <t xml:space="preserve">Landfill, New Jersey Sports and Exposition Authority (NJSEA); gas upgrading, Savannah Energy </t>
  </si>
  <si>
    <t>Bergen</t>
  </si>
  <si>
    <t xml:space="preserve">Savannah Energy </t>
  </si>
  <si>
    <t>Oberlin RNG Landfill Project (EDL)</t>
  </si>
  <si>
    <t>Landfill, Republic Services;  Upgrading, EDL</t>
  </si>
  <si>
    <t>Lorain</t>
  </si>
  <si>
    <t>DFW Landfill</t>
  </si>
  <si>
    <t xml:space="preserve">Waste Management  of Texas </t>
  </si>
  <si>
    <t>Denton</t>
  </si>
  <si>
    <t>3.58MW</t>
  </si>
  <si>
    <t xml:space="preserve">Garland/Charles M. Hinton Jr. Regional Landfill </t>
  </si>
  <si>
    <t>City of Garland</t>
  </si>
  <si>
    <t xml:space="preserve">Dallas </t>
  </si>
  <si>
    <t>Q1 2021</t>
  </si>
  <si>
    <t xml:space="preserve">City of Garland, Morrow Renewables  </t>
  </si>
  <si>
    <t>Horn Rapids Landfill</t>
  </si>
  <si>
    <t>Landfill, City of Richland, WA; upgrading system, Pine Creek RNG (formerly WRH Biogas)</t>
  </si>
  <si>
    <t>Benton</t>
  </si>
  <si>
    <t>City of Richland, Pine Creek RNG (formerly WRH Biogas)</t>
  </si>
  <si>
    <t xml:space="preserve">BENA (Bakersfield Metropolitan Sanitary Landfill) </t>
  </si>
  <si>
    <t>BENA Power Producers LLC</t>
  </si>
  <si>
    <t>Kern</t>
  </si>
  <si>
    <t>http://www.scsengineers.com/scs-project-case-stu/biogas-anaerobic-digestion-cng-
energy-systems-vehicle-fuel-project-sonoma-county-california/ 
http://www.scsengineers.com/
scs-project-case-stu/natural-
gas-vehicle-fuel-project-sonoma-county-california/</t>
  </si>
  <si>
    <t>Central Disposal Site (Sonoma) - Phases I, II, &amp; III</t>
  </si>
  <si>
    <t>Sonoma County, CA</t>
  </si>
  <si>
    <t>SCS Engineers; SCS Field Services</t>
  </si>
  <si>
    <t>Generates electricity mainly to transport potable water throughout the county; most remaining of gas is flared. LFG-to-CNG to fuel county buses; pilot scale project.</t>
  </si>
  <si>
    <t>5MW from 9 CAT 3516 IC Engines.</t>
  </si>
  <si>
    <t>Orange</t>
  </si>
  <si>
    <t>http://local.republicservices.com/site/newby-island/rates  http://www.sanjoseca.gov/index.aspx?NID=4966  https://en.wikipedia.org/wiki/Newby_Island_landfill  http://www.calrecycle.ca.gov/SWFacilities/Directory/43-AN-0003/Detail/ || 2020 https://en.wikipedia.org/wiki/Newby_Island_landfill</t>
  </si>
  <si>
    <t>Newby Island (Republic, Aria)</t>
  </si>
  <si>
    <t>Santa Clara</t>
  </si>
  <si>
    <t>Q4 2019</t>
  </si>
  <si>
    <t>3000 SCFM LFG to RNG project</t>
  </si>
  <si>
    <t>http://www.lacsd.org/solidwaste/swfacilities/landfills/puente_hills/</t>
  </si>
  <si>
    <t>Puente Hills Landfill</t>
  </si>
  <si>
    <t>Sanitation Districts of Los Angeles County</t>
  </si>
  <si>
    <t>Used compressed landfill gas (CLG) produced by Clean Fuels to run a fleet of 13 vehicles, ranging from passenger vans to large on-road tractors</t>
  </si>
  <si>
    <t>Simi Valley Landfill</t>
  </si>
  <si>
    <t>Ventura</t>
  </si>
  <si>
    <t>High Mountain Fuels, LLC; Waste Management, Inc.; The Linde Group</t>
  </si>
  <si>
    <t>http://www.scsengineers.com/scs-press-release/scs-engineers-wins-city-of-san-diego-contracts-for-landfill-gas-system-operation-monitoring-and-maintenance-and-methaneghg-emissions/</t>
  </si>
  <si>
    <t>South Chollas Landfill</t>
  </si>
  <si>
    <t>City of San Diego</t>
  </si>
  <si>
    <t>Cambrian Energy</t>
  </si>
  <si>
    <t>https://www.wastetodaymagazine.com/article/maui-county-anaergia-renewable-waste/ 
https://www.anaergia.com/maui-waste-to-renewable-fuel 
https://www.hawaiipublicradio.org/post/waste-energy-plants-stalled-maui-county-while-landfills-approach-capacity#stream/0</t>
  </si>
  <si>
    <t>Central Maui Landfill</t>
  </si>
  <si>
    <t>Maui County, HI</t>
  </si>
  <si>
    <t>Maui</t>
  </si>
  <si>
    <t>HI</t>
  </si>
  <si>
    <t xml:space="preserve">Anaergia </t>
  </si>
  <si>
    <t>Q2 2023</t>
  </si>
  <si>
    <t>http://www.co.burlington.nj.us/399/Facilities  https://www.techchecknews.com/tech/burlington-county-to-turn-landfill-gases-to-renewable-energy/</t>
  </si>
  <si>
    <t>Burlington County Landfill</t>
  </si>
  <si>
    <t>Burlington County Board of Chosen Freeholders</t>
  </si>
  <si>
    <t>Burlington</t>
  </si>
  <si>
    <t>Acrion Technologies, Inc.; Mack Trucks, Inc.</t>
  </si>
  <si>
    <t>Pilot project where two natural gas Mack trucks manufactured for waste management would ran on liquid natural gas made from clean landfill methane; shut down in early 2005</t>
  </si>
  <si>
    <t>Croton Point Landfill</t>
  </si>
  <si>
    <t>Westchester County</t>
  </si>
  <si>
    <t>Westchester</t>
  </si>
  <si>
    <t>Methane gas used as alternative fuel for Croton Point Park vehicles; shut down at end of 1997</t>
  </si>
  <si>
    <t xml:space="preserve">https://wastebits.com/locator/location/modern-landfill-recycling https://www.yorkdispatch.com/story/news/2019/12/16/lower-windsor-twp-residents-resist-republic-services-landfill-expansion/4407764002/
https://www.dep.pa.gov/Business/Land/Waste/SolidWaste/MunicipalWaste/Landfill-Methane-Outreach-Program/Pages/PA-Landfill-Methane-Projects.aspx 
</t>
  </si>
  <si>
    <t>Modern (Republic, Aria)</t>
  </si>
  <si>
    <t>https://www.wmsolutions.com/locations/details/id/222</t>
  </si>
  <si>
    <t>South Hills (Arnoni) Landfill</t>
  </si>
  <si>
    <t>A.R.C Technologies Corporation</t>
  </si>
  <si>
    <t>Creates high BTU RNG injected into the pipeline infrastructure. PSA separation of gases by A.R.C., output of 991 MMBtu/day</t>
  </si>
  <si>
    <t>https://ensoplastics.com/theblog/?p=3069 https://williamsoncountylandfill.wm.com/index.jsp</t>
  </si>
  <si>
    <t>Williamson County Landfill</t>
  </si>
  <si>
    <t>Landfill, Williamson County</t>
  </si>
  <si>
    <t>Williamson</t>
  </si>
  <si>
    <t>http://www.evensol.com/   http://www.lriservices.com/</t>
  </si>
  <si>
    <t>Land Recovery, Inc. (LRI) Landfill</t>
  </si>
  <si>
    <t>Waste Connections, Inc.</t>
  </si>
  <si>
    <t xml:space="preserve">Pierce </t>
  </si>
  <si>
    <t>February 2014</t>
  </si>
  <si>
    <t>BioFuels Energy, LLC</t>
  </si>
  <si>
    <t>Generate electricity for the grid and create CNG for on-site vehicle fueling</t>
  </si>
  <si>
    <t>4.3MW</t>
  </si>
  <si>
    <t>LANDFILL PROJECTS: STATUS</t>
  </si>
  <si>
    <t xml:space="preserve">Value from Agstar, EPA Part 80 database </t>
  </si>
  <si>
    <t>Farm/Project Name</t>
  </si>
  <si>
    <t>Farm Type</t>
  </si>
  <si>
    <t>Farm County</t>
  </si>
  <si>
    <t>Baseline System</t>
  </si>
  <si>
    <t>Population Feeding Digester</t>
  </si>
  <si>
    <t>Input in tons/year</t>
  </si>
  <si>
    <t>SCFD raw gas to project</t>
  </si>
  <si>
    <t>SCFD Upgraded gas</t>
  </si>
  <si>
    <t>MMBTU/yr</t>
  </si>
  <si>
    <t>CO2E Emissions Eliminated (metric tonnes/yr)</t>
  </si>
  <si>
    <t>Co-Digestion</t>
  </si>
  <si>
    <t>System Vendors</t>
  </si>
  <si>
    <t xml:space="preserve">Wastewater Opportunity Fund Southwest GGP LLC (Green Gas Partners Stanfield Project) </t>
  </si>
  <si>
    <t>Dairy</t>
  </si>
  <si>
    <t>Pinal</t>
  </si>
  <si>
    <t>AZ</t>
  </si>
  <si>
    <t>May 2019</t>
  </si>
  <si>
    <t>Green Gas Partners</t>
  </si>
  <si>
    <t>Co-digestion of manure with fats, oils and grease. At 100%, will produce 6 million CFD. SCFD figure to right is based on 60% ramp-up. As of June 2020, still operating at 60% due to need to replace some equipment. Injecting into pipeline.  Project is co-located on T&amp;K Red RIver Dairy, but they have no stake in the project, just supply manure. Upgraded SCFD value based on 6MM * .6.</t>
  </si>
  <si>
    <t>https://www.cdfa.ca.gov/oefi/ddrdp/docs/2018_DDRDP_ProjectsAwarded.pdf  
https://www.cdfa.ca.gov/oefi/DDRDP/docs/DDRDP_Project_Level_Data.pdf https://www.arb.ca.gov/cc/capandtrade/auctionproceeds/historicdata_2020AR.xlsx</t>
  </si>
  <si>
    <t>Calgren/Maas Energy Works</t>
  </si>
  <si>
    <t xml:space="preserve">Covered lagoon </t>
  </si>
  <si>
    <t>4K Dairy Digester Pipeline Project is a new covered lagoon digester processing dairy manure in Tulare County, California. The project is a part of the Calgren Dairy Fuels Cluster, developed by Maas Energy Works. The Calgren Dairy Fuels Cluster has already laid four miles of pipeline and begun construction of three digesters awarded CDFA funds in late 2017--scheduled to provide the state's first pipeline diary biogas fuel by June of 2018. The methane-rich biogas from the digester will be transported via private, low-pressure pipeline to the cluster's central hub near the Calgren ethanol refinery. Once at the hub, it will be used to fuel partner and public trucks at an on-site compressed natural gas fueling station. The remainder of the gas will be injected into the adjacent SoCalGas utility pipeline for delivery to other CNG fueling stations around the Central Valley and the state.</t>
  </si>
  <si>
    <t>http://www.awma-goldenempire.org/store/files/61.pdf
https://www.socalgas.com/1443741246975/Meeting-the-Methane-reduction-challenge_WestCoastAdv.pdfhttp://4c-global.com/2017/06/13/lakeview-farms-anaerobic-digester/http://kerncountyenergysummit.com/assets/neil-black-calbio_kern-energy-summit---11-8-17_final.pdfhttps://www.bakersfield.com/news/state-awards-million-to-help-harness-biogas-at-kern-dairies/article_3bdf7a87-223f-5121-bea6-c0365fecd1e1.htmlhttp://calbioenergy.com/projects/ https://www.cdfa.ca.gov/oefi/DDRDP/docs/DDRDP_Project_Level_Data.pdf</t>
  </si>
  <si>
    <t>Began 2/13/2018</t>
  </si>
  <si>
    <t xml:space="preserve">California Bioenergy </t>
  </si>
  <si>
    <t xml:space="preserve">Covered Lagoon </t>
  </si>
  <si>
    <t xml:space="preserve">Part of Kern Dairy Biogas Cluster </t>
  </si>
  <si>
    <t>6700 MWh</t>
  </si>
  <si>
    <t xml:space="preserve">Multiple farm/facility </t>
  </si>
  <si>
    <t>https://www.cdfa.ca.gov/oefi/ddrdp/docs/2018_DDRDP_ProjectsAwarded.pdf \\
 https://www.cdfa.ca.gov/oefi/DDRDP/docs/DDRDP_Project_Level_Data.pdf
https://www.arb.ca.gov/cc/capandtrade/auctionproceeds/historicdata_2020AR.xlsx</t>
  </si>
  <si>
    <t>Stanislaus</t>
  </si>
  <si>
    <t>Planned completion 12/15/2020</t>
  </si>
  <si>
    <t>Maas Energy Works</t>
  </si>
  <si>
    <t>Ackerman Dairy Digester Pipeline Project is a new covered lagoon digester processing dairy manure in Stanislaus County, California. The project is a part of the Aemetis Cluster, developed by Maas Energy Works. The methane-rich biogas from the digester will be transported via private, low-pressure pipeline to the cluster's central hub near at the Aemetis ethanol refinery. Once at the hub, most of the biogas will be used to fuel partner trucks at an on-site compressed natural gas fueling station. The remainder of the gas will be used on site to fuel boilers at the Aemetis ethanol refinery to make very low carbon vehicle fuel.</t>
  </si>
  <si>
    <t>Farm</t>
  </si>
  <si>
    <t>https://www.ariaenergy.com/bp-and-aria-energy-to-capture-methane-at-california-dairy-farms-as-part-of-renewable-natural-gas-project/</t>
  </si>
  <si>
    <t>Madera</t>
  </si>
  <si>
    <t>Q4 2020</t>
  </si>
  <si>
    <t>BP, Aria, Aligned Digesters</t>
  </si>
  <si>
    <t>Covered Lagoon</t>
  </si>
  <si>
    <t>Manure Pond</t>
  </si>
  <si>
    <t>Raw biogas trucked to a cental upgrading point at Soares for pipeline injection</t>
  </si>
  <si>
    <t>PIPELINE (for vehicle/other)</t>
  </si>
  <si>
    <t>Part of multi-farm</t>
  </si>
  <si>
    <t xml:space="preserve">Merced </t>
  </si>
  <si>
    <t>Raw biogas from this farm and the two farms trucking biogas are upgraded for pipeline injection.</t>
  </si>
  <si>
    <t>https://www.cdfa.ca.gov/oefi/ddrdp/docs/2018_DDRDP_ProjectsAwarded.pdf || https://www.cdfa.ca.gov/oefi/DDRDP/docs/DDRDP_Project_Level_Data.pdf
https://www.arb.ca.gov/cc/capandtrade/auctionproceeds/historicdata_2020AR.xlsx</t>
  </si>
  <si>
    <t>California Bioenergy, 4 Creeks Engineering, Anaergia, 4C Global and SoCalGas.</t>
  </si>
  <si>
    <t>Covered lagoon</t>
  </si>
  <si>
    <t>Aukeman Farms Dairy, a dairy operation located in Tulare CA will build a Tier 1 designed manure only covered lagoon digester with enhanced gas storage, gas pre-treatment and effluent distribution. The project will include a sand lane, screens and mechanical separator with screw press for solid separation pre-digester. A compressor and meter station will deliver biogas via a biogas gathering line to the centralized "Tipton Dairy Biogas Cluster" shared upgrading facility where CO2, N2, O2, and further H2S removal produces biomethane meeting SoCalGas Rule 30 specifications. A gas compressor lifts the biomethane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</si>
  <si>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https://www.cdfa.ca.gov/oefi/ddrdp/docs/2018_DDRDP_ProjectsAwarded.pdf \\ https://www.cdfa.ca.gov/oefi/DDRDP/docs/DDRDP_Project_Level_Data.pdf
https://www.arb.ca.gov/cc/capandtrade/auctionproceeds/historicdata_2020AR.xlsx</t>
  </si>
  <si>
    <t>Belonave, a dairy operation located in Bakersfield,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</si>
  <si>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http://biomassmagazine.com/articles/14827/   https://www.cdfa.ca.gov/oefi/ddrdp/docs/2017_DDRDP_ProjectsAwarded.pdf \\  https://www.cdfa.ca.gov/oefi/DDRDP/docs/DDRDP_Project_Level_Data.pdfhttps://www.cdfa.ca.gov/oefi/DDRDP/docs/DDRDP_Project_Level_Data.pdf
https://www.arb.ca.gov/cc/capandtrade/auctionproceeds/historicdata_2020AR.xlsx</t>
  </si>
  <si>
    <t>Bos Farms Dairy Biogas was awarded $1.5 million to support a $12.83 million project in Tulare, California. The dairy proposes to build a Tier 1 designed manure-only covered lagoon digester with enhanced gas storage, gas pretreatment, and effluent distribution. The project will add sand lane and screens for solid separation pre-digester. Blowers will deliver biogas to an adjacent centralized upgrading facility where it will be processed for use as vehicle fuel. The project team includes California Bioenergy, 4 Creeks Engineering, Anaergia, 4C Global and SoCalGas.</t>
  </si>
  <si>
    <t>BV Dairy, a dairy operation located in Bakersfield,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</si>
  <si>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http://biomassmagazine.com/articles/14827/   https://www.cdfa.ca.gov/oefi/ddrdp/docs/2017_DDRDP_ProjectsAwarded.pdf https://www.cdfa.ca.gov/oefi/DDRDP/docs/DDRDP_Project_Level_Data.pdf https://www.arb.ca.gov/cc/capandtrade/auctionproceeds/historicdata_2020AR.xlsx</t>
  </si>
  <si>
    <t>December 2018</t>
  </si>
  <si>
    <t>Calgren Dairy Fuels LLC</t>
  </si>
  <si>
    <t>Calgren was awarded $1.05 million to support the $2.35 million Circle A Dairy Digester Fuel Pipeline Project. The project is a covered lagoon digester processing manure in Tulare County. The project is owned by Calgren, which will construct it at no cost to the dairy and will make guaranteed payments to the dairy. The project is part of the Calgren Dairy Fuels Cluster. Biogas produced at the site will be supplied via a private pipeline to fuel two 5 MW gas turbines that power the Calgren ethanol refinery. The cluster will install a renewable compressed natural gas (RCNG) station and later connect to the utility pipeline to supply more RCNG stations.</t>
  </si>
  <si>
    <t>Upgrading system Air Liquide</t>
  </si>
  <si>
    <t>https://www.arb.ca.gov/cc/capandtrade/auctionproceeds/historicdata_2020AR.xlsx</t>
  </si>
  <si>
    <t>Kings</t>
  </si>
  <si>
    <t>Cloverdale was awarded $3 million to support a $7.84 million project in Hanford, California. The project aims to build a Tier 1 designed manure-only covered lagoon digester with enhanced gas storage, gas pretreatment, and effluent distribution. The project will add sand lane and screens for solid separation pre-digester. Blowers will deliver biogas to an adjacent centralized upgrading facility where it will be processed for use as vehicle fuel. The project team includes California Bioenergy, 4 Creeks Engineering, Anaergia, 4C Global and SoCalGas.</t>
  </si>
  <si>
    <t xml:space="preserve">https://www.cdfa.ca.gov/oefi/ddrdp/docs/2018_DDRDP_ProjectsAwarded.pdf  https://www.cdfa.ca.gov/oefi/DDRDP/docs/DDRDP_Project_Level_Data.pdf https://www.maasenergy.com/digesters
</t>
  </si>
  <si>
    <t>Cornerstone</t>
  </si>
  <si>
    <t>7.1.2018</t>
  </si>
  <si>
    <t xml:space="preserve">Q3 2019 </t>
  </si>
  <si>
    <t>Cornerstone Dairy Digester Pipeline Project is a new covered lagoon digester processing dairy manure in Tulare County, California. The project is a part of the Calgren Dairy Fuels Cluster, developed by Maas Energy Works. The Calgren Dairy Fuels Cluster has already laid four miles of pipeline and begun construction of three digesters awarded CDFA funds in late 2017--scheduled to provide the state's first pipeline diary biogas fuel by June of 2018. The methane-rich biogas from the digester will be transported via private, low-pressure pipeline to the cluster's central hub near the Calgren ethanol refinery. Once at the hub, it will be used to fuel partner and public trucks at an on-site compressed natural gas fueling station. The remainder of the gas will be injected into the adjacent SoCalGas utility pipeline for delivery to other CNG fueling stations around the Central Valley and the state</t>
  </si>
  <si>
    <t>https://www.cdfa.ca.gov/oefi/ddrdp/docs/2018_DDRDP_ProjectsAwarded.pdf
https://www.cdfa.ca.gov/oefi/DDRDP/docs/DDRDP_Project_Level_Data.pdf
https://www.arb.ca.gov/cc/capandtrade/auctionproceeds/historicdata_2020AR.xlsx</t>
  </si>
  <si>
    <t>Double D Dairy Digester Pipeline Project is a new covered lagoon digester processing dairy manure in Stanislaus County, California. The project is a part of the Aemetis Cluster, developed by Maas Energy Works. The methane-rich biogas from the digester will be transported via private, low-pressure pipeline to the cluster's central hub near at the Aemetis ethanol refinery. Once at the hub, most of the biogas will be used to fuel partner trucks at an on-site compressed natural gas fueling station. The remainder of the gas will be used on site to fuel boilers at the Aemetis ethanol refinery to make very low carbon vehicle fuel. The project can begin generating greenhouse gas reductions very quickly since it does not require utility pipeline interconnection during this first phase.</t>
  </si>
  <si>
    <t>Double J Dairy, a dairy operation located in Visalia,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</si>
  <si>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Dykstra Dairy, a dairy operation located in Tulare, CA will build a Tier 1 designed manure only covered lagoon with enhanced gas storage, gas pre-treatment and effluent distribution. The project will include a sand lane, screens and mechanical separator with screw press for solid separation predigester. A compressor and meter station will deliver biogas via a biogas gathering line to the centralized "Tipton Dairy Cluster" shared upgrading facility where CO2, N2, O2, and further H2S removal produces biomethane meeting SoCalGas Rule 30 specifications. A gas compressor lifts the biomethane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</si>
  <si>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The El Monte Dairy, a dairy operation located in Tipton, CA proposes to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</si>
  <si>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http://biomassmagazine.com/articles/14827/   https://www.cdfa.ca.gov/oefi/ddrdp/docs/2017_DDRDP_ProjectsAwarded.pdf
https://www.arb.ca.gov/cc/capandtrade/auctionproceeds/historicdata_2020AR.xlsx</t>
  </si>
  <si>
    <t>Hamstra Dairy Biogas was awarded $2 million to support a $6.58 million project in Tulare, California. The dairy proposes to build a Tier 1 designed manure-only covered lagoon digester with enhanced gas storage, gas pretreatment, and effluent distribution. The project will add sand lane and screens for solid separation pre-digester. Blowers will deliver biogas to an adjacent centralized upgrading facility where it will be processed for use as vehicle fuel. The project team includes California Bioenergy, 4 Creeks Engineering, Anaergia, 4C Global and SoCalGas.</t>
  </si>
  <si>
    <t>https://www.dairycares.com/families/Hilarides_and_Borba  https://www.wired.com/2009/02/milk-trucks-in/ http://www.tularechamber.org/list/member/hilarides-dairy-lindsay-2296 https://www.newkirk-electric.com/projects/biomass-biofuels/hilarides-dairy-biofuel-upgrade-unit#/ https://www.dairybusiness.com/considerations-when-evaluating-renewable-natural-gas-production-on-dairy-farms/</t>
  </si>
  <si>
    <t>Hilarides Dairy</t>
  </si>
  <si>
    <t>Storage Lagoon</t>
  </si>
  <si>
    <t>Generates electricity for on-site use by one lean burn, high efficiency engine. Can also produce CNG for onsite vehicle fueling.</t>
  </si>
  <si>
    <t>5000 MWh/yr</t>
  </si>
  <si>
    <t>Farm Scale</t>
  </si>
  <si>
    <t>Environmental Fabrics, Inc., Phase 3 Developments &amp; Investments, LLC, Sharp Energy</t>
  </si>
  <si>
    <t>California Bioenergy, 4 Creeks Engineering, Anaergia, 4C Global and SoCalGas</t>
  </si>
  <si>
    <t>Hollandia Farms Dairy Biogas was awarded $1.5 million to support a $7.32 million project in Hanford, California. The dairy proposes to build a Tier 1 designed manure-only covered lagoon digester with enhanced gas storage, gas pretreatment, and effluent distribution. The project will add sand lane and screens for solid separation pre-digester. Blowers will deliver biogas to an adjacent centralized upgrading facility where it will be processed for use as vehicle fuel. The project team includes California Bioenergy, 4 Creeks Engineering, Anaergia, 4C Global and SoCalGas.</t>
  </si>
  <si>
    <t>Jacobus De Groot #2 Dairy, a dairy operation located in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</si>
  <si>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http://biomassmagazine.com/articles/14827/   
https://www.cdfa.ca.gov/oefi/ddrdp/docs/2017_DDRDP_ProjectsAwarded.pdf 
www.cdfa.ca.gov/oefi/DDRDP/docs/DDRDP_Project_Level_Data.pdf 
https://www.maasenergy.com/digesters
https://www.arb.ca.gov/cc/capandtrade/auctionproceeds/historicdata_2020AR.xlsx</t>
  </si>
  <si>
    <t xml:space="preserve">September 2019 </t>
  </si>
  <si>
    <t>Calgren was awarded $1.5 million to support the $3.29 million K&amp;M Visser Dairy Digester Fuel Pipeline Project in Pixley, California. The project is a covered lagoon digester processing manure in Tulare County. The project is owned by Calgren, which will construct it at no cost to the dairy and will make guaranteed payments to the dairy. The project is part of the Calgren Dairy Fuels Cluster. Biogas produced at the site will be supplied via a private pipeline to fuel two 5 MW gas turbines that power the Calgren ethanol refinery. The cluster will install a renewable compressed natural gas (RCNG) station and later connect to the utility pipeline to supply more RCNG stations.</t>
  </si>
  <si>
    <t xml:space="preserve">Public? </t>
  </si>
  <si>
    <t xml:space="preserve">http://biomassmagazine.com/articles/14827/   https://www.cdfa.ca.gov/oefi/ddrdp/docs/2017_DDRDP_ProjectsAwarded.pdf www.cdfa.ca.gov/oefi/DDRDP/docs/DDRDP_Project_Level_Data.pdf https://www.maasenergy.com/digesters
https://www.arb.ca.gov/cc/capandtrade/auctionproceeds/historicdata_2020AR.xlsx
</t>
  </si>
  <si>
    <t>Calgren was awarded $1.55 million to support the $3.28 million Legacy Dairy Digester Fuel Pipeline project. The project is a covered lagoon digester processing manure in Tulare County. The project is owned by Calgren, which will construct it at no cost to the dairy and will make guaranteed payments to the dairy. The project is part of the Calgren Dairy Fuels Cluster. Biogas produced at the site will be supplied via a private pipeline to fuel two 5 MW gas turbines that power the Calgren ethanol refinery. The cluster will install a renewable compressed natural gas (RCNG) station and later connect to the utility pipeline to supply more RCNG stations.</t>
  </si>
  <si>
    <t>https://www.cdfa.ca.gov/oefi/ddrdp/docs/2018_DDRDP_ProjectsAwarded.pdf
https://www.arb.ca.gov/cc/capandtrade/auctionproceeds/historicdata_2020AR.xlsx</t>
  </si>
  <si>
    <t>Little Rock Dairy Centralized Digester Pipeline Project is a new covered lagoon digester processing dairy manure from two smaller dairies in Tulare County, California. The project is a part of the Calgren Dairy Fuels Cluster, developed by Maas Energy Works. The Calgren Dairy Fuels Cluster has already laid four miles of pipeline and begun construction of three digesters awarded CDFA funds in late 2017-- scheduled to provide the state's first pipeline diary biogas fuel by June of 2018. The methane-rich biogas from the digester will be transported via private, low-pressure pipeline to the cluster's central hub near the Calgren ethanol refinery. Once at the hub, it will be used to fuel partner and public trucks at an on-site compressed natural gas fueling station. The remainder of the gas will be injected into the adjacent SoCalGas utility pipeline for delivery to other CNG fueling stations around the Central Valley and the state</t>
  </si>
  <si>
    <t>https://www.cdfa.ca.gov/oefi/ddrdp/docs/2018_DDRDP_ProjectsAwarded.pdf https://www.cdfa.ca.gov/oefi/DDRDP/docs/DDRDP_Project_Level_Data.pdf
https://www.arb.ca.gov/cc/capandtrade/auctionproceeds/historicdata_2020AR.xlsx</t>
  </si>
  <si>
    <t>Lone Oak #1 Dairy Digester Pipeline Project is a new covered lagoon digester processing dairy manure in King's County, California. The project is 100% farmer owned by the host dairy family members of the 2000 TeVelde Trust. The project is a part of the Hanford-Lakeside Pipeline cluster, developed by Maas Energy Works. The methane-rich biogas from the digester will be transported via private, low-pressure pipeline to the cluster's central hub at River Ranch. Once at the hub, it will be used to fuel partner and public trucks at an on-site compressed natural gas fueling station. The remainder of the gas will be injected into the adjacent SoCalGas utility pipeline for delivery to other CNG fueling stations around the around the Central Valley and the state.</t>
  </si>
  <si>
    <t xml:space="preserve">Q4 2020 </t>
  </si>
  <si>
    <t>Maple Dairy Biogas was awarded $3 million to support a $8.33 million project in Bakersfield, California. The dairy proposes to build a Tier 1 designed manure-only covered lagoon digester with enhanced gas storage, gas pretreatment, and effluent distribution. The project will add sand lane and screens for solid separation pre-digester. Blowers will deliver biogas to an adjacent centralized upgrading facility where it will be processed for use as vehicle fuel. The project team includes California Bioenergy, 4 Creeks Engineering, Anaergia, 4C Global and SoCalGas.</t>
  </si>
  <si>
    <t>Mellema Dairy, a dairy operation located in Visalia,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</si>
  <si>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Q2 2021</t>
  </si>
  <si>
    <t>Mineral King Dairy, a dairy operation located in Visalia,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</si>
  <si>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Moonlight Dairy was awarded $1.5 million to support a $6.36 million project in Visalia, California. The dairy proposes to build a Tier 1 designed manure-only covered lagoon digester with enhanced gas storage, gas pretreatment, and effluent distribution. The project will add sand lane and screens for solid separation pre-digester. Blowers will deliver biogas to an adjacent centralized upgrading facility where it will be processed for use as vehicle fuel. The project team includes California Bioenergy, 4 Creeks Engineering, Anaergia, 4C Global and SoCalGas.</t>
  </si>
  <si>
    <t>https://www.cdfa.ca.gov/oefi/ddrdp/docs/2019-DDRDP_ApplicationsAwarded.pdf  https://www.cdfa.ca.gov/oefi/DDRDP/docs/DDRDP_Project_Level_Data.pdf</t>
  </si>
  <si>
    <t>Newhouse Dairy Biogas (Kern cluster)</t>
  </si>
  <si>
    <t>12.1.2019</t>
  </si>
  <si>
    <t>California Bioenergy</t>
  </si>
  <si>
    <t>Newhouse Dairy will join the established Kern dairy biogas to fuel cluster near Bakersfield, CA. The dairy will install a Tier 1 designed manure only covered lagoon digester with integrated gas storage and pre-treatment. An on-dairy biogas conditioning and compressor station will remove hydrogen sulfide and moisture and then meter and move the clean biogas into a gathering line connecting to the centralized biogas upgrading facility and interconnection located at BV Dairy. Biomethane, meeting SoCalGas Rule30, will be injected into the co-located point of receipt. The project's biomethane will be delivered as R-CNG to fleets and CNG fueling stations in California. California Bioenergy is the project developer.</t>
  </si>
  <si>
    <t>http://biomassmagazine.com/articles/14827/   https://www.cdfa.ca.gov/oefi/ddrdp/docs/2017_DDRDP_ProjectsAwarded.pdf https://www.cdfa.ca.gov/oefi/DDRDP/docs/DDRDP_Project_Level_Data.pdf
https://www.arb.ca.gov/cc/capandtrade/auctionproceeds/historicdata_2020AR.xlsx</t>
  </si>
  <si>
    <t>Pixley Dairy Digester Fuel Pipeline Project (Calgren)</t>
  </si>
  <si>
    <t xml:space="preserve">Mixed plug flow </t>
  </si>
  <si>
    <t>Calgren was awarded $1.6 million to support the $3.45 million Pixley Dairy Digester Fuel Pipeline Project. The project is a covered lagoon digester processing manure in Tulare County. The project is owned by Calgren, which will construct it at no cost to the dairy and will make guaranteed payments to the dairy. The project is part of the Calgren Dairy Fuels Cluster. Biogas produced at the site will be supplied via a private pipeline to fuel two 5 MW gas turbines that power the Calgren ethanol refinery. The cluster will install a renewable compressed natural gas (RCNG) station and later connect to the utility pipeline to supply more RCNG stations.</t>
  </si>
  <si>
    <t>Calgren was awarded $1 million to support the $2.5 million R Vander Eyk Dair Digester Fuel Pipeline Project in Pixley, California. The project is a covered lagoon digester processing manure in Tulare County. The project is owned by Calgren, which will construct it at no cost to the dairy and will make guaranteed payments to the dairy. The project is part of the Calgren Dairy Fuels Cluster. Biogas produced at the site will be supplied via a private pipeline to fuel two 5 MW gas turbines that power the Calgren ethanol refinery. The cluster will install a renewable compressed natural gas (RCNG) station and later connect to the utility pipeline to supply more RCNG stations.</t>
  </si>
  <si>
    <t>10MW</t>
  </si>
  <si>
    <t>Planed completeion Q2 2021</t>
  </si>
  <si>
    <t>Rancho Sierra Vista Dairy, a dairy operation located in Visalia,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</si>
  <si>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https://www.cdfa.ca.gov/oefi/DDRDP/docs/DDRDP_Project_Level_Data.pdf
https://webmaps.arb.ca.gov/ccimap/downloads/CCI_All_Implemented_Projects_2020AR.xlsx</t>
  </si>
  <si>
    <t>Rancho Teresita Dairy in Tulare, CA will build a Tier 1 designed manure only covered lagoon with enhanced gas storage, gas pre-treatment and effluent distribution. The project will add sand lane and screens for solid separation pre-digester. Blowers will deliver low pressure biogas to a nearby centralized upgrading facility where CO2, N2, O2, and further H2S removal produces biomethane meeting SoCal Gas Rule 30 specifications. A gas compressor lifts the gas pressure to SoCal's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</si>
  <si>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River Ranch Dairy Digester Pipeline Project is a new covered lagoon digester processing dairy manure in King's County, California. The project is 100% farmer owned by the host dairy family Jack and Nicole De Jong. The project is a part of the Hanford-Lakeside Pipeline cluster, developed by Maas Energy Works. The methane-rich biogas from the digester will be transported via private, low-pressure pipeline to the cluster's central hub near the dairy. Once at the hub, it will be used to fuel partner and public trucks at an on-site compressed natural gas fueling station. The remainder of the gas will be injected into the adjacent SoCalGas utility pipeline for delivery to other CNG fueling stations around the Central Valley and the state.</t>
  </si>
  <si>
    <t>Riverbend Dairy, a dairy operation located in Tulare,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</si>
  <si>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https://www.cdfa.ca.gov/oefi/ddrdp/docs/2018_DDRDP_ProjectsAwarded.pdf
 https://www.cdfa.ca.gov/oefi/DDRDP/docs/DDRDP_Project_Level_Data.pdf
https://www.arb.ca.gov/cc/capandtrade/auctionproceeds/historicdata_2020AR.xlsx</t>
  </si>
  <si>
    <t>Riverview Dairy Digester Pipeline Project is a new covered lagoon digester processing dairy manure in Tulare County, California. The project is a part of the Calgren Dairy Fuels Cluster, developed by Maas Energy Works. The Calgren Dairy Fuels Cluster has already laid four miles of pipeline and begun construction of three digesters awarded CDFA funds in late 2017--scheduled to provide the state's first pipeline diary biogas fuel by June of 2018. The methane-rich biogas from the digester will be transported via private, low-pressure pipeline to the cluster's central hub near the Calgren ethanol refinery. Once at the hub, it will be used to fuel partner and public trucks at an on-site compressed natural gas fueling station. The remainder of the gas will be injected into the adjacent SoCalGas utility pipeline for delivery to other CNG fueling stations around the Central Valley and the state.</t>
  </si>
  <si>
    <t xml:space="preserve">Farm scale </t>
  </si>
  <si>
    <t>Rob Van Grouw Dairy, a dairy operation located in Visalia,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</si>
  <si>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 xml:space="preserve">Dairy </t>
  </si>
  <si>
    <t>S&amp;S Diary was awarded $1.6 million to support a $6.69 million project in Visalia, California. The dairy proposes to build a Tier 1 designed manure-only covered lagoon digester with enhanced gas storage, gas pretreatment, and effluent distribution. The project will add sand lane and screens for solid separation pre-digester. Blowers will deliver biogas to an adjacent centralized upgrading facility where it will be processed for use as vehicle fuel. The project team includes California Bioenergy, 4 Creeks Engineering, Anaergia, 4C Global and SoCalGas.</t>
  </si>
  <si>
    <t>Scheenstra Dairy, a dairy operation located in Tulare, CA proposes to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</si>
  <si>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https://www.cdfa.ca.gov/oefi/ddrdp/docs/2018_DDRDP_ProjectsAwarded.pdf https://www.cdfa.ca.gov/oefi/DDRDP/docs/DDRDP_Project_Level_Data.pdf</t>
  </si>
  <si>
    <t>Sousa and Sousa Dairy Digester Pipeline Project is a new covered lagoon digester processing dairy manure in Tulare County, California. The project is a part of the Calgren Dairy Fuels Cluster, developed by Maas Energy Works. The Calgren Dairy Fuels Cluster has already laid four miles of pipeline and begun construction of three digesters awarded CDFA funds in late 2017--scheduled to provide the state's first pipeline diary biogas fuel by June of 2018. The methane-rich biogas from the digester will be transported via private, low-pressure pipeline to the cluster's central hub near the Calgren ethanol refinery. Once at the hub, it will be used to fuel partner and public trucks at an on-site compressed natural gas fueling station. The remainder of the gas will be injected into the adjacent SoCalGas utility pipeline for delivery to other CNG fueling stations around the Central Valley and the state.</t>
  </si>
  <si>
    <t>T&amp;W Farms was awarded $2.6 million to support a $7.3 million project in Bakersfield, California. The farm proposes to build a Tier 1 designed manure-only covered lagoon digester with enhanced gas storage, gas pretreatment, and effluent distribution. The project will add sand lane and screens for solid separation pre-digester. Blowers will deliver biogas to an adjacent centralized upgrading facility where it will be processed for use as vehicle fuel. The project team includes California Bioenergy, 4 Creeks Engineering, Anaergia, 4C Global and SoCalGas.</t>
  </si>
  <si>
    <t>Trilogy was awarded $2.25 million to support a $6.45 million project in Bakersfield, California. The company has proposed to build a Tier 1 designed manure-only covered lagoon with enhanced gas storage, gas pretreatment and effluent distribution. Blowers will deliver biogas to an adjacent centralized upgrading facility where it will be processed for use as vehicle fuel. The project team includes California Bioenergy, 4 Creeks Engineering, Anaergia, 4C Global and SoCalGas.</t>
  </si>
  <si>
    <t>The Udder Dairy Biogas Project is a new covered lagoon digester processing manure in Tulare County, California. This project is part of the West Visalia Cluster, developed by California Bioenergy LLC. The Udder Dairy proposes to build a Tier 1 designed manure only covered lagoon with enhanced gas storage, gas pre-treatment and effluent distribution. Gas marketing, dairy processor and hauler commitments guarantee 100% delivery of the project's biomethane as R-CNG for vehicle fuel use in California. California Bioenergy, 4 Creeks Engineering, Anaergia, 4C Global and SoCalGas comprise the project team</t>
  </si>
  <si>
    <t>Valadao Dairy, a dairy operation located in Hanford,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</si>
  <si>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Vander Poel Dairy Digester Pipeline Project is a new covered lagoon digester processing dairy manure in Tulare County, California. The project is a part of the Calgren Dairy Fuels Cluster, developed by Maas Energy Works. The Calgren Dairy Fuels Cluster has already laid four miles of pipeline and begun construction of three digesters awarded CDFA funds in late 2017--scheduled to provide the state's first pipeline diary biogas fuel by June of 2018. The methane-rich biogas from the digester will be transported via private, low-pressure pipeline to the cluster's central hub near the Calgren ethanol refinery. Once at the hub, it will be used to fuel partner and public trucks at an on-site compressed natural gas fueling station. The remainder of the gas will be injected into the adjacent SoCalGas utility pipeline for delivery to other CNG fueling stations around the Central Valley and the state.</t>
  </si>
  <si>
    <t xml:space="preserve">Construction start Q2 2019? </t>
  </si>
  <si>
    <t>planned completion 3/31/2021</t>
  </si>
  <si>
    <t>Vista Verde Dairy Digester Pipeline Project is a new covered lagoon digester processing dairy manure in Merced County, California--opening up digester development in California's second largest dairy county. The project is owned by Vista Verde Dairy Biogas LLC and is a part of the Merced-South cluster, developed by Maas Energy Works. The methane-rich biogas from the digester will be transported via private, low-pressure pipeline to the cluster's central hub at the center of the dairy group. Once at the hub, the biogas will be used to fuel partner and public trucks at a new compressed natural gas fueling station. The remainder of the gas will be injected into the PG&amp;E utility pipeline for delivery to other CNG fueling stations around the Central Valley and the state.</t>
  </si>
  <si>
    <t xml:space="preserve">covered lagoon </t>
  </si>
  <si>
    <t>Western Sky Dairy, a dairy operation located in Bakersfield,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</si>
  <si>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 xml:space="preserve">
https://www.arb.ca.gov/cc/capandtrade/auctionproceeds/historicdata_2020AR.xlsx http://biomassmagazine.com/articles/14827/   https://www.cdfa.ca.gov/oefi/ddrdp/docs/2017_DDRDP_ProjectsAwarded.pdf \\ https://www.cdfa.ca.gov/oefi/DDRDP/docs/DDRDP_Project_Level_Data.pdf </t>
  </si>
  <si>
    <t>Wreden Ranch was awarded $3 million to support a $7.76 million project in Hanford, California. The ranch plans to build Tier 1 designated manure-only covered lagoon digester with enhanced gas storage, gas pretreatment and effluent distribution. The project will add sand land and screens for solid separation pre-digester. Blowers will deliver biogas to an adjacent centralized upgrading facility where it will processed for use as vehicle fuel. The project team includes California Bioenergy, 4 Creeks Engineering, Anaergia, 4C Global and SoCalGas.</t>
  </si>
  <si>
    <t>http://biomassmagazine.com/articles/9859/camco-clean-energy-completes-acquisition-of-idaho-facilityhttps://www.camcorenewables.com/agpower-jerome-1 http://biomassmagazine.com/articles/12619/camco-reaches-agreement-to-sell-2-idaho-biogas-projects || https://www.camcorenewables.com/agpower-jerome-1 || http://www.rngcoalition.com/news/2015/11/17/camco-to-sell-us-biogas-assets</t>
  </si>
  <si>
    <t>Twin Falls</t>
  </si>
  <si>
    <t xml:space="preserve">2010 as electric </t>
  </si>
  <si>
    <t xml:space="preserve">Camco Clean Energy </t>
  </si>
  <si>
    <t>Plug flow</t>
  </si>
  <si>
    <t>Existing dairy electrical project being upgraded to RNG for pipeline injection to vehicle market</t>
  </si>
  <si>
    <t>Large farm</t>
  </si>
  <si>
    <t xml:space="preserve">http://biomassmagazine.com/articles/9859/camco-clean-energy-completes-acquisition-of-idaho-facility 
https://www.camcorenewables.com/agpower-jerome-1
https://www.camco.energy/ag-power-jerome-us/
http://biomassmagazine.com/articles/12619/camco-reaches-agreement-to-sell-2-idaho-biogas-projects  </t>
  </si>
  <si>
    <t>AG Power Jerome LLC (Double A Dairy)</t>
  </si>
  <si>
    <t>Jerome</t>
  </si>
  <si>
    <t xml:space="preserve">ID </t>
  </si>
  <si>
    <t xml:space="preserve">2012 as electric </t>
  </si>
  <si>
    <t>AgPower Group, LLC [Project Developer]; DVO, Inc. (formerly GHD, Inc.) [System Designer, System Design Engineer]; Regenis [System Designer, Construction &amp; Installation]</t>
  </si>
  <si>
    <t>4.5 MW biogas electric facility converted to RNG by Camco in 2019. Originally constructed by Camco as a biogas power plant, the facility employs anaerobic digestion technology to convert dairy waste from over 15,000 cows into biogas that formerly fueled three engine-generator sets. Effluent from the digester is further processed into sterile, organic fiber that is recycled back to the dairy for animal bedding. The wastewater produced by the facility is recycled to supply the dairy with nutrient containing liquid for its agricultural operations.</t>
  </si>
  <si>
    <t>37054800 kWh</t>
  </si>
  <si>
    <t xml:space="preserve">Large farm </t>
  </si>
  <si>
    <t>https://www.renewableenergymagazine.com/biogas/biogest-to-build-its-first-biogas-plant-20210114
https://www.biogest.at/page/en/137/BIOGEST-builds-1st-biogas-plant-in-Idaho.html</t>
  </si>
  <si>
    <t>Biogest Idaho</t>
  </si>
  <si>
    <t xml:space="preserve">Cassia/Minidoka </t>
  </si>
  <si>
    <t>October 2020</t>
  </si>
  <si>
    <t>Biogest</t>
  </si>
  <si>
    <t xml:space="preserve">Single process fermenters, complete mix. Upgrading is PSA. </t>
  </si>
  <si>
    <t>Biogest has received its first US order to build an agricultural biogas plant in Idaho, which will have a thermal output of 90,000 MMBTU per year and will utilise 120,000 tonnes of cow manure per year. As well as producing biogas, the plant will transform the manure into high-quality organic fertiliser that will substitute existing chemical products. Biogest’s technology aims to deliver significant advantages in energy efficiency and operational safety as well as an easy and cost efficient maintenance system. Upgrading system is Xebec PSA.</t>
  </si>
  <si>
    <t xml:space="preserve">Biogest, Xebec </t>
  </si>
  <si>
    <t>http://montaukenergy.com/operations/pico-energy/  
https://www.vanguardlawmag.com/case-studies/james-jamie-wallace-montauk-energy/
http://www.rngcoalition.com/news/2018/10/31/montauk-energy-acquires-pico-energy
https://www.globenewswire.com/news-release/2021/06/15/2247115/0/en/Montauk-Renewables-Inc-Expands-Dairy-Digester-RNG-Project.html 
https://ir.montaukrenewables.com/news-releases/news-release-details/montauk-renewables-inc-expands-agricultural-waste-segment
https://ir.montaukrenewables.com/static-files/b75685aa-813b-40fc-b02d-97f620fb2451</t>
  </si>
  <si>
    <t>Gooding</t>
  </si>
  <si>
    <t>December 2019</t>
  </si>
  <si>
    <t>August 2020</t>
  </si>
  <si>
    <t>Montauk Energy</t>
  </si>
  <si>
    <t xml:space="preserve">Montauk Energy acquired Pico Energy LLC which includes a manure digester and electric generation facility at Bettencourt Dairy. Montauk will be constructing, developing and operating a biogas refining facility with biogas cleanup to convert, clean and compress biogas waste into biomethane for use as a renewable compressed natural gas (“RCNG”) transportation fuel. Anaerobic Digester Energy Generation with Air Injection System, Sulfur Removal System, BIOFerm Pressure Swing Absorption Gas Upgrade Skid and Finished Gas Compression System to 4000 psig with Biogas cleanup. Montauk Energy plans to design, build and operate a  facility to convert the digester gas into pipeline-quality renewable natural gas (RNG) to be used as Compressed Natural Gas or Liquified Natural Gas dispensed as vehicular fuel in California.  This facility will be substantially closed-loop, with byproducts either being recycled into the process, or serving a useful purpose, such as agricultural ameliorants or bedding for the cows. 2021 update, news item refers to the project as a cluster. Refers to expansion of feedstock supply and of facility in response.  Possible increase in RNG output of 300MMBTU per day. </t>
  </si>
  <si>
    <t xml:space="preserve">65,000 gallons per day minimum, possibly up to 165,000. </t>
  </si>
  <si>
    <t>https://ngtnews.com/new-indiana-facility-converts-945-tons-of-cow-manure-to-rng-per-day</t>
  </si>
  <si>
    <t>RDF Jasper (Bos, Herrema and Windy Ridge Farms)</t>
  </si>
  <si>
    <t xml:space="preserve">Jasper </t>
  </si>
  <si>
    <t xml:space="preserve">October 2018. </t>
  </si>
  <si>
    <t>Renewable Dairy Fuels LLC</t>
  </si>
  <si>
    <t>Mixed plug flow</t>
  </si>
  <si>
    <t>Upgrading system is membrane with caustic H2S pretreatment. No onsite fueling</t>
  </si>
  <si>
    <t xml:space="preserve">RDF Prairie's Edge Dairy 1 (formerly Fair Oaks 1) </t>
  </si>
  <si>
    <t>Jasper</t>
  </si>
  <si>
    <t>DVO, Inc. (formerly GHD, Inc.), AMP Americas</t>
  </si>
  <si>
    <t>Two stage linear vortex</t>
  </si>
  <si>
    <t>Storage Tank or Pond or Pit</t>
  </si>
  <si>
    <t xml:space="preserve">Uses fuel from digested manure to fuel 42 Class 8 heavy-duty milk tanker trucks; excess CNG piped and sold to CNG fueling station; some biogas also fuels a generator that provides electricity for the biogas upgrader and for the farm. 2020, original DVO digester replaced with DVO two stage linear vortex model, increasing capacity by 25%. </t>
  </si>
  <si>
    <t xml:space="preserve">38,000 between projects 1 and 2. </t>
  </si>
  <si>
    <t>1 MW</t>
  </si>
  <si>
    <t>22,543 (methane)</t>
  </si>
  <si>
    <t>DVO, Inc. (formerly GHD, Inc.)</t>
  </si>
  <si>
    <t xml:space="preserve">RDF Prairie's Edge Dairy 2 (formerly Fair Oaks 2) </t>
  </si>
  <si>
    <t>DVO, Inc., amp Americas LLC</t>
  </si>
  <si>
    <t>Modified plug-flow</t>
  </si>
  <si>
    <t>Upgrading technology is water wash</t>
  </si>
  <si>
    <t>VNA Nevada</t>
  </si>
  <si>
    <t>Off farm, corn stover, cellulosic crop residues</t>
  </si>
  <si>
    <t>Story</t>
  </si>
  <si>
    <t>VERBIO North America Corporation</t>
  </si>
  <si>
    <t xml:space="preserve">Located at site of former DuPont cellulosic ethanol facility. Feedstock is baled crop residue procured within a 50-75 mile radius. Will utilize 90,000+ tons of corn stover per year during the first phase of operations, looking at other types of cellulosic material including immature cover crops. RNG will be cleaned to pipeline natural gas standards and injected into an onsite natural gas distribution pipeline for eventual use as compressed natural gas (CNG) or liquified natural gas (LNG) vehicle fuel. Digestate, a value-added lignin- and nutrient-rich soil amendment similar to peat moss or compost,  will be principally returned to feedstock suppliers and spread on farmland to replace the agronomic value of the harvested crop residue. "We will never use manure, food waste or other odorous material in our process." Phase 1 of project will produce 7 million GGE. Phase 2 of project will add thin stillage from ethanol production and will double capacity. 2021 update, project will go live Q4, will be at 400k MMBTU by end of year; planned capacity was 600k, but are working on expansion to double size of project to 1200k capacity by end 2022. Gas is coming in around 55% methane. </t>
  </si>
  <si>
    <t xml:space="preserve">Baled Crop Residue </t>
  </si>
  <si>
    <t>90000+</t>
  </si>
  <si>
    <t>http://kmrskkok.com/2018/08/08/biogas-proposal/
https://www.startribune.com/bio-methane-from-cow-manure-could-be-a-new-gold-rush-on-the-farm/567314422/ 
http://kmrskkok.com/2020/07/10/biogas-pipeline-update-2/ 
https://www.nny360.com/communitynews/business/new-gold-rush-for-large-farms-turning-cow-manure-into-biomethane/article_930a1077-46f4-5a77-b4fe-07b64b96b98b.html
https://ngtnews.com/amp-americas-brings-fourth-rng-producing-facility-online
https://www.waste360.com/waste-energy/amp-americas-brings-largest-dairy-rng-project-online</t>
  </si>
  <si>
    <t>Riverview Dairy, Morris Minnesota (Coalition database)</t>
  </si>
  <si>
    <t>Stevens</t>
  </si>
  <si>
    <t>Riverview Dairies, AMP Americas</t>
  </si>
  <si>
    <t xml:space="preserve">Rehab of unused electricity-generating digesters. PIpeline will connect 3 dairies to a central upgrading facility, and then RNG will be injected into interstate pipeline. </t>
  </si>
  <si>
    <t>700,000 gallons per day</t>
  </si>
  <si>
    <t>https://iaspub.epa.gov/enviro/fii_query_detail.disp_program_facility?p_registry_id=110055510013   http://www.usa.com/frs/south-meadows-farm.html || http://roesleinalternativeenergy.com/large-manure-to-energy-project-begins-producing-renewable-natural-gas/ || https://www.biogasworld.com/projects/ ||https://www.globalmeatnews.com/Article/2020/02/24/Smithfield-Foods-increases-investment-in-renewable-energy-scheme || https://issuu.com/dmsgroup/docs/07-24-2016.pdf/82</t>
  </si>
  <si>
    <t xml:space="preserve">Roeselin South Meadows Farms  </t>
  </si>
  <si>
    <t>Swine</t>
  </si>
  <si>
    <t>Sullivan</t>
  </si>
  <si>
    <t xml:space="preserve">Roeslein Alternative Energy, LLC (RAE); Murphy-Brown of Missouri, LLC (MBM) </t>
  </si>
  <si>
    <t xml:space="preserve">Part of nine-farm project encompassing 88 manure lagoons. Roselein will develop, install, own and operate processing facilities to capture, purify and sell the biogas produced from the anaerobic conversion of manure. Facility at South Meadows also includes a flare-off operation. This project includes 7 covered manure lagoons.  </t>
  </si>
  <si>
    <t>Centralized/ Regional</t>
  </si>
  <si>
    <t>Plans to include grasses and crop residue</t>
  </si>
  <si>
    <t>http://biomassmagazine.com/articles/10787/construction-underway-on-missouri-anaerobic-digestion-project  http://www.prnewswire.com/news-releases/construction-underway-on-innovative-project-creating-energy-from-hog-manure-270763751.html   http://www.murphybrownllc.com/environment/enviromental-management/   http://biomassmagazine.com/articles/14873/rng-coalition-celebrates-new-projects-launches-video || 2020 http://www.biomassmagazine.com/plants/view/6634 || https://www.globalmeatnews.com/Article/2020/02/24/Smithfield-Foods-increases-investment-in-renewable-energy-scheme ||https://issuu.com/dmsgroup/docs/07-24-2016.pdf/82</t>
  </si>
  <si>
    <t>Roeslein Alternative Energy - Homan</t>
  </si>
  <si>
    <t>Gentry</t>
  </si>
  <si>
    <t xml:space="preserve">Roeslein Alternative Energy </t>
  </si>
  <si>
    <t>Part of nine-farm project encompassing 88 manure lagoons. Roselein will develop, install, own and operate processing facilities to capture, purify and sell the biogas produced from the anaerobic conversion of manure. Project includes 10 covered lagoons. In start-up phase as of October 2020.</t>
  </si>
  <si>
    <t xml:space="preserve">http://biomassmagazine.com/articles/13624/roeslein-alternative-energys-wte-project-begins-rng-production  http://www.kttn.com/large-manure-to-energy-project-begins-producing-renewable-natural-gas/ </t>
  </si>
  <si>
    <t xml:space="preserve">Roeslein Locust Ridge </t>
  </si>
  <si>
    <t>Roeslein Alternative Energy</t>
  </si>
  <si>
    <t>Part of nine-farm project encompassing 88 manure lagoons. Roeslein will develop, install, own and operate processing facilities to capture, purify and sell the biogas produced from the anaerobic conversion of manure. Uses Guild PSA upgrading technology. Project includes 8 covered lagoons.</t>
  </si>
  <si>
    <t xml:space="preserve">Regional / centralized </t>
  </si>
  <si>
    <t>http://www.kttn.com/large-manure-to-energy-project-begins-producing-renewable-natural-gas/  http://www.prnewswire.com/news-releases/key-phase-underway-in-120-million-manure-to-energy-project-300171175.html
https://www.americanbiogascouncil.org/projectProfiles/albany_mo.pdf     https://www.americanbiogascouncil.org/projectProfiles/albany_mo.pdf</t>
  </si>
  <si>
    <t xml:space="preserve">Roeslein Ruckman </t>
  </si>
  <si>
    <t xml:space="preserve">Part of nine-farm project encompassing 88 manure lagoons. Roselein will develop, install, own and operate processing facilities to capture, purify and sell the biogas produced from the anaerobic conversion of manure. Uses Guild PSA upgrading. Project includes 9 covered lagoons. </t>
  </si>
  <si>
    <t>http://biomassmagazine.com/articles/10787/construction-underway-on-missouri-anaerobic-digestion-project  http://www.prnewswire.com/news-releases/construction-underway-on-innovative-project-creating-energy-from-hog-manure-270763751.html   http://www.murphybrownllc.com/environment/enviromental-management/   http://biomassmagazine.com/articles/14873/rng-coalition-celebrates-new-projects-launches-video || 2020 http://www.biomassmagazine.com/plants/view/6634 || https://www.globalmeatnews.com/Article/2020/02/24/Smithfield-Foods-increases-investment-in-renewable-energy-scheme||https://issuu.com/dmsgroup/docs/07-24-2016.pdf/82</t>
  </si>
  <si>
    <t xml:space="preserve">Roeslein Alternative Energy - Somerset </t>
  </si>
  <si>
    <t>Putnam</t>
  </si>
  <si>
    <t>Part of nine-farm project encompassing 88 manure lagoons. Roselein will develop, install, own and operate processing facilities to capture, purify and sell the biogas produced from the anaerobic conversion of manure. This project includes 12 covered lagoons. In start up phase as of October 2020.</t>
  </si>
  <si>
    <t>http://biomassmagazine.com/articles/10787/construction-underway-on-missouri-anaerobic-digestion-project  http://www.prnewswire.com/news-releases/construction-underway-on-innovative-project-creating-energy-from-hog-manure-270763751.html   http://www.murphybrownllc.com/environment/enviromental-management/   http://biomassmagazine.com/articles/14873/rng-coalition-celebrates-new-projects-launches-video
https://aggridenergy.com/regional-biogas-project-advancing/</t>
  </si>
  <si>
    <t xml:space="preserve">Roeslein Valley View </t>
  </si>
  <si>
    <t xml:space="preserve">Part of nine-farm project encompassing 88 manure lagoons. Roselein will develop, install, own and operate processing facilities to capture, purify and sell the biogas produced from the anaerobic conversion of manure. Uses Air Liquide membrane separation upgrading technology. Gas being sold into municipal gas system in Milan, MO. 14 covered lagoons. </t>
  </si>
  <si>
    <t>Environmental Fabrics Inc.</t>
  </si>
  <si>
    <t>http://biomassmagazine.com/articles/10787/construction-underway-on-missouri-anaerobic-digestion-project  http://www.prnewswire.com/news-releases/construction-underway-on-innovative-project-creating-energy-from-hog-manure-270763751.html   http://www.murphybrownllc.com/environment/enviromental-management/   http://biomassmagazine.com/articles/14873/rng-coalition-celebrates-new-projects-launches-video || 2020 http://biomassmagazine.com/plants/view/6633 || https://www.globalmeatnews.com/Article/2020/02/24/Smithfield-Foods-increases-investment-in-renewable-energy-scheme || https://issuu.com/dmsgroup/docs/07-24-2016.pdf/82</t>
  </si>
  <si>
    <t>Roeslein Alternative Energy - Green Hills</t>
  </si>
  <si>
    <t>Construction to start 2021; units being commissioned June 2021</t>
  </si>
  <si>
    <t xml:space="preserve">Part of nine-farm project encompassing 88 manure lagoons. Roselein will develop, install, own and operate processing facilities to capture, purify and sell the biogas produced from the anaerobic conversion of manure. </t>
  </si>
  <si>
    <t>http://biomassmagazine.com/articles/10787/construction-underway-on-missouri-anaerobic-digestion-project  http://www.prnewswire.com/news-releases/construction-underway-on-innovative-project-creating-energy-from-hog-manure-270763751.html   http://www.murphybrownllc.com/environment/enviromental-management/   http://biomassmagazine.com/articles/14873/rng-coalition-celebrates-new-projects-launches-video|| 2020 http://www.biomassmagazine.com/plants/view/6634 || https://www.globalmeatnews.com/Article/2020/02/24/Smithfield-Foods-increases-investment-in-renewable-energy-scheme || https://issuu.com/dmsgroup/docs/07-24-2016.pdf/82</t>
  </si>
  <si>
    <t>Roeslein Alternative Energy - Whitetail</t>
  </si>
  <si>
    <t>Dominion Energy and Smithfield Foods through Align JV</t>
  </si>
  <si>
    <t xml:space="preserve">Swine: process water from meat processing plants </t>
  </si>
  <si>
    <t>Duplin</t>
  </si>
  <si>
    <t xml:space="preserve">Carbon Cycle Energy (C2e) </t>
  </si>
  <si>
    <t xml:space="preserve">Process water </t>
  </si>
  <si>
    <t xml:space="preserve">Will generate pipeline quality RNG from combination of waste water from meat processing plant, manure and other wastes. RNG will be sold to Duke Energy, allowing them to satisfy NC state mandates with regards to meeting specific compliance targets for swine and poultry waste. Will receive waste from facilities within 45 mile radius, process water and high end FOG from dissolved air flotation systems. Manure is used as a seed starter, nothing more.  </t>
  </si>
  <si>
    <t>It's estimated Duke will produce roughly 125,000 MWh annually with gas</t>
  </si>
  <si>
    <t>Regional, 45 mile radius</t>
  </si>
  <si>
    <t>Mulitple waste feedstocks</t>
  </si>
  <si>
    <t>Digester Anaergia, upgrading DMT Clear Gas Solutions</t>
  </si>
  <si>
    <t>Q4 2018</t>
  </si>
  <si>
    <t>WWTP</t>
  </si>
  <si>
    <t>https://www.brightmarkenergy.com/ny-biogas-project-expansion; http://www.biomassmagazine.com/articles/17005/rng-producer-making-a-mark</t>
  </si>
  <si>
    <t>Yellowjacket Boxler Dairy Farm</t>
  </si>
  <si>
    <t>Wyoming</t>
  </si>
  <si>
    <t xml:space="preserve">After the planned installation of gas upgrade equipment across all of the farms is complete in early 2021, the project is anticipated to produce about 305,000 MMBtu of renewable natural gas each year, making this Brightmark’s largest RNG project to date. Each farm will have own upgrading capability, gas will be trucked to a central injection point. </t>
  </si>
  <si>
    <t>DVO digester</t>
  </si>
  <si>
    <t>Yellowjacket Lamb Farms</t>
  </si>
  <si>
    <t>Genessee</t>
  </si>
  <si>
    <t>Yellowjacket Lamb Lakeshore Dairy</t>
  </si>
  <si>
    <t xml:space="preserve">Niagara </t>
  </si>
  <si>
    <t>EnviTec Digester</t>
  </si>
  <si>
    <t xml:space="preserve">Yellowjacket Swiss Valley Farms </t>
  </si>
  <si>
    <t>Yellowjacket Zuber Farms</t>
  </si>
  <si>
    <t>RCM Digester</t>
  </si>
  <si>
    <t>Shell New Energies Junction City</t>
  </si>
  <si>
    <t>Off-farm, uses dairy manure and crop waste from area</t>
  </si>
  <si>
    <t>Lane County</t>
  </si>
  <si>
    <t>Shell New Energies</t>
  </si>
  <si>
    <t xml:space="preserve">Shell is expanding and upgrading the former JC Biomethane plant in Junction City, Oregon, which Shell acquired in May 2018, and renamed Shell New Energies, Junction City. The expansion and upgrades include adding additional anaerobic digestion capacity, changing the utilized feedstock to agricultural wastes, and replacing the biogas-fired generator with a gas upgrading system that produces and exports Renewable Natural Gas (RNG). Feedstocks include dairy manure, grass straw and wheat straw. </t>
  </si>
  <si>
    <t>Multi-farm</t>
  </si>
  <si>
    <t>Manure and silage</t>
  </si>
  <si>
    <t>https://www.bioenergy-news.com/news/first-dairy-manure-to-rng-facility-in-oregon-us-celebrates-opening/
https://www.eastoregonian.com/news/local/money-from-manure/article_5708affd-e64f-5a7a-80c7-d832b92e64fe.html?utm_medium=social&amp;utm_source=twitter&amp;utm_campaign=user-share
https://www.capitalpress.com/state/oregon/dairy-strives-to-keep-improving/article_bb693015-0fff-55fa-9a39-e4bdbb1773f4.html
https://www.threemilecanyonfarms.com/sustainability/digester
https://www.eastoregonian.com/news/local/methane-digester-ready-to-go-at-threemile-canyon-farms/article_8d473017-5912-5ede-8e2b-df7489f7283c.html
https://www.pacificpower.net/env/bsre/bses/tmc.html
https://www.deq.state.or.us/AQPermitsonline/25-0047-TV-01_PMRR_2019.PDF
https://www.capitalpress.com/ag_sectors/dairy/threemile-canyon-farms-recognized-for-sustainability/article_745b5d34-b647-11ea-b598-87116eea76e2.html</t>
  </si>
  <si>
    <t>Three Mile Canyon Farms</t>
  </si>
  <si>
    <t>July 2019</t>
  </si>
  <si>
    <t xml:space="preserve">Iogen Corp., Equilibrium Capital, Three Mile Canyon Farm </t>
  </si>
  <si>
    <t>Mixed-Plug Flow</t>
  </si>
  <si>
    <t>?</t>
  </si>
  <si>
    <t>Project converted from electricity production to RNG. Producing vehicle fuel for California market according to press accounts. Output figure based on Oregon DEQ application.</t>
  </si>
  <si>
    <t>Wartsila</t>
  </si>
  <si>
    <t>https://usgasvehicles.com/en/brightmark-to-build-south-dakotas-first-ever-dairy-rng-project/
https://www.agweek.com/business/agriculture/6973838-South-Dakota-dairy-producer-positions-for-climate-change
https://www.brightmark.com/work/athena-project/
https://www.bioenergy-news.com/news/greenlane-signs-7-7-supply-contract-for-brightmark-rng-project/</t>
  </si>
  <si>
    <t>Brightmark Athena Project (Broadwine Farms, Mooody Dairy, Pioneer Dairy)</t>
  </si>
  <si>
    <t>Minnehana</t>
  </si>
  <si>
    <t>SD</t>
  </si>
  <si>
    <t>Brightmark Energy</t>
  </si>
  <si>
    <t>55,600,000 gallons</t>
  </si>
  <si>
    <t>Martin Construction Resource digester with Bright Biomethane membrane</t>
  </si>
  <si>
    <t xml:space="preserve">https://www.scsengineers.com/scs-project-case-stu/scs-energy-dairy-digester-gas-to-renewable-natural-gas-in-texas/ https://kupperengineering.com/project/dairy-digester-rng-facility-2/
</t>
  </si>
  <si>
    <t>Cactus Digester Gas Utilization Plant (Coalition database)</t>
  </si>
  <si>
    <t>Moore</t>
  </si>
  <si>
    <t>SCS Engineers for confidential client</t>
  </si>
  <si>
    <t>SCS is designing a 1,400 scfm dairy digester gas to renewable natural gas (DG-to-RNG) plant in Cactus, Texas. The product gas capacity is 1,173 MMBtu/day. The project will come online in 2019. The RNG plant will use the following technologies: Booster blowers; Liquid scrubber for H2S removal with solid media backup; DG refrigeration; Activated carbon treatment; DG compression with flooded-screw compression; Membranes for CO2 removal; and Product gas compressor (to 1,000 psig).</t>
  </si>
  <si>
    <t xml:space="preserve">http://biomassmagazine.com/articles/16642/north-american-rng-industry-celebrates-new-production-facilities https://sustainability.jbssa.com/stories/first-ever-swine-to-rng-project-in-texas/ 
https://ally-energy.com/
</t>
  </si>
  <si>
    <t>Dalhart RNG, LLC (JBS USA)</t>
  </si>
  <si>
    <t>Dallam/Hartley</t>
  </si>
  <si>
    <t>2019?</t>
  </si>
  <si>
    <t xml:space="preserve">September 2019? </t>
  </si>
  <si>
    <t>JBS USA; Ally Energy Solutions</t>
  </si>
  <si>
    <t>Lagoon</t>
  </si>
  <si>
    <t>JBS recently partnered with Ally Energy Solutions on a first ever swine to RNG project at its hog facility in Dalhart, Texas. The project modernized a two-and-a-half acre digester lagoon to capture and convert methane gas into clean, renewable natural gas, that is then sold to the California transportation fuel market.</t>
  </si>
  <si>
    <t>https://alignrng.com/projects.aspx
https://www.biocycle.net/align-rng-brings-first-project-on-line/</t>
  </si>
  <si>
    <t>Align Milford Digester</t>
  </si>
  <si>
    <t xml:space="preserve">Dominion Energy/Smithfield Foods via Align alliance </t>
  </si>
  <si>
    <t xml:space="preserve">26 farms </t>
  </si>
  <si>
    <t>http://www.middlebury.edu/newsroom/node/494519   
https://vanguardrenewables.com/wp-content/uploads/2021/02/VR_CS-Goodrich-2021.pdf
http://digital.vpr.net/post/psb-approves-construction-renewable-natural-gas-plant-salisbury-farm#stream/0
http://www.middlebury.edu/newsroom/archive/2017-news/node/558800</t>
  </si>
  <si>
    <t>Goodrich Farm (Vanguard Renewables)</t>
  </si>
  <si>
    <t>Addison</t>
  </si>
  <si>
    <t>VT</t>
  </si>
  <si>
    <t>Vanguard Renewables</t>
  </si>
  <si>
    <t>Continuously stirred tank reactor</t>
  </si>
  <si>
    <t xml:space="preserve">System at Goodrich includes two 660,000-gallon capacity tanks, phosphorus management system, hydrolyzer. System will convert cow manure to biogas, to be sent via pipeline to Middlebury College. WIll use manure form Goodrich heard and other area herds, as well as source separated organics as a codigestate. Digester provided by CH4Biogas; upgrading system from DMT Carborex. Middlebury will use about 70% of the gas, the rest will go into Vermont Gas pipeline.  
Project sold to Vanguard Renewables by original developer, Lincoln Renewable Gas. </t>
  </si>
  <si>
    <t xml:space="preserve">36,500 manure, 65,700 food waste </t>
  </si>
  <si>
    <t>9900 MWh</t>
  </si>
  <si>
    <t>2,747 (Agstar March 2020)</t>
  </si>
  <si>
    <t xml:space="preserve">Food waste </t>
  </si>
  <si>
    <t>CH4 Biogas, DMT Carborex</t>
  </si>
  <si>
    <t>EPA 2016 update- Operational https://www.terrapass.com/project/george-deruyter-and-sons-dairy   http://biomassmagazine.com/articles/10612/dairy-farm-to-produce-pipeline-quality-biogas   https://agr.wa.gov/fp/pubs/docs/343-washingtondairiesanddigesters-web.pdf  http://www.promusenergy.com/partners-c1jq0  http://www.promusenergy.com/ https://www.brightmarkenergy.com/augeanproject  https://apnews.com/f32f7e65b4104f29b233c8965776c27d  http://www.biomassmagazine.com/articles/17005/rng-producer-making-a-mark</t>
  </si>
  <si>
    <t>George DeRuyter &amp; Sons Dairy Digester (Brightmark Augean RNG Project)</t>
  </si>
  <si>
    <t>Yakima</t>
  </si>
  <si>
    <t>Feb 2020</t>
  </si>
  <si>
    <t>Promus Energy, LLC, Brightmark Energy</t>
  </si>
  <si>
    <t>Mixed Plug Flow</t>
  </si>
  <si>
    <t>Flush to storage lagoon</t>
  </si>
  <si>
    <t xml:space="preserve">Upgrade of existing dairy digester producing electricity to RNG. </t>
  </si>
  <si>
    <t>Grease trap waste</t>
  </si>
  <si>
    <t>Andgar Corp., DVO, Inc. (formerly GHD, Inc.), Regenis, Regenis (An Andgar Company) (General Contractor); Greenlane Biogas (upgrading)</t>
  </si>
  <si>
    <t xml:space="preserve">http://www.biomassmagazine.com/articles/16347/brightmark-energy-acquires-wisconsin-dairy-biogas-project
https://www.brightmarkenergy.com/demeterproject 
https://www.businesswire.com/news/home/20190725005163/en/Brightmark-Energy-Acquires-Wisconsin-Dairy-Biogas-Project
http://www.biomassmagazine.com/articles/17132/dane-county-rng-station-receives-biogas-shipment-from-brightmark
</t>
  </si>
  <si>
    <t>Brightmark Energy Demeter Project</t>
  </si>
  <si>
    <t xml:space="preserve">Dane </t>
  </si>
  <si>
    <t>Brightmark Energy; Clean Fuel Partners</t>
  </si>
  <si>
    <t>Brightmark Energy, a San Francisco-based waste and energy development company, purchased an anaerobic digester northwest of Madison, Wisconsin, that will convert 90,000 gallons per day of dairy waste from three local farms into biogas and other useful products. Upgrading project is projected to produce at least 50,000 MMBTU of RNG annually. Brightmark purchased the digester from Clean Fuel Partners, which will provide ongoing operations and maintenance support. RNG collected from the anaerobic digester will be transported to Dane County landfill-gas-processing facility, where it will be injected into interstate pipeline owned by ANR Pipeline Company. Participating farms are the neigboring Ripp's Dairy Valley, Endres Dairy and White Gold Dairy.</t>
  </si>
  <si>
    <t>122,000 (based on 90,000 gallons/day, per Brightmark site)</t>
  </si>
  <si>
    <t>Custom digester, Bright Biomethane membrane</t>
  </si>
  <si>
    <t>ANR</t>
  </si>
  <si>
    <t xml:space="preserve">https://dtepowerandindustrial.com/project/calumet-renewable-energy-under-construction/
https://www.prnewswire.com/news-releases/dte-biomass-energy-opens-first-renewable-natural-gas-processing-and-interstate-injection-site-in-wisconsin-300917162.html
https://www.cargilldairydreams.com/en/another-set-of-eyes-really-makes-the-difference
https://www.agweb.com/article/farm-wisconsin-discovery-center-opens-barn-doors/
https://hoards.com/article-25225-dte-biomass-energy-commissions-first-dairy-renewable-natural-gas-project-in-wisconsin.html https://electricenergyonline.com/article/energy/category/generation/52/800286/dte-s-waste-to-energy-initiative-wins-american-biogas-council-s-dairy-project-of-the-year.html
</t>
  </si>
  <si>
    <t>Calumet Renewable Energy (Dairy Dreams, Pagels Ponderosa, Maple Leaf and Grotegut Dairies)</t>
  </si>
  <si>
    <t>Manitowoc</t>
  </si>
  <si>
    <t>April 2019</t>
  </si>
  <si>
    <t xml:space="preserve">DTE Biomass Energy (Calumet is a subsidiary). Project is located at Dairy Dreams, Pagels Ponderosa, Maple Leaf and Grotegut Farms. </t>
  </si>
  <si>
    <t xml:space="preserve">Manure pond? </t>
  </si>
  <si>
    <t>Dairy biogas digester project producing pipeline renewable natural gas. Hosted by four dairies, Pagel’s Ponderosa Dairy Farm, Dairy Dreams Dairy Farm, Grotegut Dairy Farm, Maple Leaf East and West Dairy Farms.</t>
  </si>
  <si>
    <t>https://dtepowerandindustrial.com/project/dane-renewable-energy-under-construction/
https://www.bioenergy-news.com/news/u-s-gain-and-dte-biomass-energy-reach-rng-offtake-agreement/
https://www.spglobal.com/marketintelligence/en/news-insights/trending/ptyoi2-st-bhh0ahox9pba2</t>
  </si>
  <si>
    <t>Dane Renewable Energy (Statz Bros Dairy)</t>
  </si>
  <si>
    <t>Summer 2019?</t>
  </si>
  <si>
    <t>February 2020</t>
  </si>
  <si>
    <t xml:space="preserve">DTE Biomass Energy (Dane is a subsidiary). Project is located at Statz Bros. Farm. </t>
  </si>
  <si>
    <t>Dairy biogas digester project producing pipeline renewable natural gas. Hosted by Statz Bros. Dairy Farms.</t>
  </si>
  <si>
    <t xml:space="preserve">https://www.usgain.com/news/u-s-gain-secures-rng-offtake-agreement-with-holsum-dairies/ https://psc.wi.gov/Documents/OEI/EnergyInnovationSummit/Bob%20Nagel.pdf https://bioenergyinternational.com/biogas/u-s-gain-secures-rng-off-take-deal-with-holsum-dairies
https://www.bioenergy-news.com/news/u-s-gain-secures-rng-offtake-agreement-with-holsum-dairies/?MvBriefArticleId=3707
</t>
  </si>
  <si>
    <t>Holsum Dairies</t>
  </si>
  <si>
    <t>Calumet</t>
  </si>
  <si>
    <t>US Gain is offtaker</t>
  </si>
  <si>
    <t xml:space="preserve">Holsum Dairies consists of two farms, Elm and Irish. Raw gas from Irish is transported via pipeline to central conditioning plant at Elm. Gas is then injected into pipeline via interconnect paid for by dairy. US Gain will transport to LCFS markets in California and Oregon. </t>
  </si>
  <si>
    <t>6364834 kWh</t>
  </si>
  <si>
    <t>https://www.prnewswire.com/news-releases/dte-biomass-energy-opens-first-renewable-natural-gas-processing-and-interstate-injection-site-in-wisconsin-300917162.html
https://dtepowerandindustrial.com/project/kinnard-renewable-energy-under-construction/
https://kinnardfarms.com/conservation/renewable-natural-gas-project/
https://www.revlng.com/ourprojects/</t>
  </si>
  <si>
    <t>Kewaunee Renewable Energy (Kinnard Dairy)</t>
  </si>
  <si>
    <t>Kewaunee</t>
  </si>
  <si>
    <t>June 2020</t>
  </si>
  <si>
    <t xml:space="preserve">DTE Biomass Energy (Kewaunee is a subsidiary). Project is located at Kinnard Farm. </t>
  </si>
  <si>
    <t xml:space="preserve">Dairy biogas digester project producing pipeline renewable natural gas. Hosted by Kinnard Dairy Farms. Rev LNG providing virtual pipeline to injection point? </t>
  </si>
  <si>
    <t>https://www.prnewswire.com/news-releases/dte-biomass-energy-opens-first-renewable-natural-gas-processing-and-interstate-injection-site-in-wisconsin-300917162.html
https://dtepowerandindustrial.com/project/new-chester-renewable-energy-under-construction/
https://www.spglobal.com/marketintelligence/en/news-insights/trending/ptyoi2-st-bhh0ahox9pba2</t>
  </si>
  <si>
    <t>New Chester Renewable Energy  (New Chester Dairy)</t>
  </si>
  <si>
    <t>Adams</t>
  </si>
  <si>
    <t>July 2020</t>
  </si>
  <si>
    <t xml:space="preserve">DTE Biomass Energy (New Chester is a subsidiary). Project is located at New Chester Farm. </t>
  </si>
  <si>
    <t>Dairy biogas digester project producing pipeline renewable natural gas. Hosted by New Chester Dairy Farm.</t>
  </si>
  <si>
    <t>https://dtepowerandindustrial.com/project/rosendale-renewable-energy-under-construction/
https://www.biofermenergy.com/references/rosendale-dairy/</t>
  </si>
  <si>
    <t>Rosendale Renewable Energy (Rosendale Dairy)</t>
  </si>
  <si>
    <t>Winnebago</t>
  </si>
  <si>
    <t>May 2020</t>
  </si>
  <si>
    <t xml:space="preserve">DTE Biomass Energy (Rosendale is a subsidiary). Project is located at Rosendale Farm. </t>
  </si>
  <si>
    <t xml:space="preserve">Wet fermentation </t>
  </si>
  <si>
    <t>Dairy biogas digester project producing pipeline renewable natural gas. Hosted by Rosendale Dairy Farm.</t>
  </si>
  <si>
    <t>http://www.biomassmagazine.com/articles/16967/us-gain-completes-rng-project-at-clover-hill-dairy
https://www.epa.gov/sites/production/files/2014-12/documents/clover_hill_agstar_site_profile_508_022614.pdf
https://www.dmt-cgs.com/wp-content/uploads/2020/04/Press-Release-Nacelle-20200422.pdf
https://www.manuremanager.com/clover-hill-dairy-in-wisconsin-the-site-of-new-rng-project/
https://bioenergyinternational.com/biogas/u-s-gain-completes-rng-project-clover-hill-dairy
https://www.agupdate.com/agriview/briefs/dairy/dairy-farm-produces-renewable-natural-gas/article_f18603bf-c762-518b-b4cd-76f5f73b4cb6.html</t>
  </si>
  <si>
    <t xml:space="preserve">US Gain Cloverhill Dairy </t>
  </si>
  <si>
    <t>Fond du Lac</t>
  </si>
  <si>
    <t xml:space="preserve">US Gain, Nacelle Solutions, DMT Clear Gas </t>
  </si>
  <si>
    <t>Mixed plug flow (DVO)</t>
  </si>
  <si>
    <t xml:space="preserve">Storage lagoon </t>
  </si>
  <si>
    <t>https://doorcountypulse.com/governor-gets-hands-dirty-at-deer-run-dairy/
https://www.dmt-cgs.com/project/deer-run-farm-rng/</t>
  </si>
  <si>
    <t>US Gain Deer Run Dairy</t>
  </si>
  <si>
    <t>Q3 2020/Q1 2021</t>
  </si>
  <si>
    <t>https://ngtnews.com/u-s-gain-purchases-digesters-to-support-rng-activities
https://www.csrwire.com/press_releases/43180-U-S-Gain-Purchases-Digesters-at-Two-Wisconsin-Dairy-Farms
https://www.usgain.com/news/u-s-gains-fourth-dairy-rng-development-project-is-operational/</t>
  </si>
  <si>
    <t>US Gain Dallmann East River Dairy</t>
  </si>
  <si>
    <t>https://ngtnews.com/u-s-gain-purchases-digesters-to-support-rng-activities 
https://www.usgain.com/news/u-s-gain-purchases-digesters-at-two-wisconsin-dairy-farms/
https://www.usgain.com/news/u-s-gain-develops-dairy-rng-project-in-just-8-months/</t>
  </si>
  <si>
    <t>US Gain  S&amp;S Jerseyland Dairy</t>
  </si>
  <si>
    <t xml:space="preserve">Door </t>
  </si>
  <si>
    <t xml:space="preserve"> </t>
  </si>
  <si>
    <t>https://www.businesswire.com/news/home/20200831005436/en/Fortistar-Paloma-Dairy-Construction-Renewable-Natural-Gas 
https://tucson.com/business/poo-power-renewable-gas-projects-sprout-at-arizona-sewer-plant-dairies/article_56bb567a-b1c9-11eb-98f6-7b59dad30212.html
http://biomassmagazine.com/articles/17336/fortistar-paloma-dairy-begin-construction-on-rng-facility
http://biomassmagazine.com/articles/18094/southwest-gas-to-source-rng-from-5-projects
https://www.naturalgasintel.com/southwest-gas-readies-five-rng-projects/</t>
  </si>
  <si>
    <t>Sunoma Renewable Biofuel Project (Paloma Dairy)</t>
  </si>
  <si>
    <t>Maricopa</t>
  </si>
  <si>
    <t>9.1.2020</t>
  </si>
  <si>
    <t>Paloma Dairy; Fortistar; Industrial Services Co; Montrose Environmental; TruStar Energy</t>
  </si>
  <si>
    <t>Covered lagoon and CSTR</t>
  </si>
  <si>
    <t xml:space="preserve">According to press release project is specifically developing fuel for Class 8 vehicles. Montrose Water and Sustainability Services, a division of Montrose Environmental Group, completed design and engineering for the project as well as equipment procurement. Montrose’s subject matter experts will provide construction oversight, along with startup and commissioning support for the project. Industrial Services Company (ISC) will lead the building of the system. Project financing by Live Oak Bank. Telcon Fortistart 9.15.20, they are building both the digesters and the upgrading equipment. There will be a covered lagoon, and they will also have a three tank CSTR from PlanET. Upgrading via Air Liquide membrane system. </t>
  </si>
  <si>
    <t>Farm scale</t>
  </si>
  <si>
    <t>PlanET</t>
  </si>
  <si>
    <t xml:space="preserve">Construction began May 2021 </t>
  </si>
  <si>
    <t>Brightmark, Chevron</t>
  </si>
  <si>
    <t>Butterfield Dairy</t>
  </si>
  <si>
    <t>December 2021</t>
  </si>
  <si>
    <t xml:space="preserve">Avolta, Atlas Global Holdings, DVO, Butterfield Dairy. Facility will be operated and maintained by Nacelle Solutions, of which Avolta is a subsidiary. </t>
  </si>
  <si>
    <t>~55,000</t>
  </si>
  <si>
    <t>MIlky Way Dairy, Maricopa</t>
  </si>
  <si>
    <t>https://www.cdfa.ca.gov/oefi/ddrdp/docs/2019-DDRDP_ApplicationsAwarded.pdf || https://www.cdfa.ca.gov/oefi/DDRDP/docs/DDRDP_Project_Level_Data.pdf</t>
  </si>
  <si>
    <t xml:space="preserve">Ahlem Farms Dairy Biogas (Hilmar cluster) </t>
  </si>
  <si>
    <t>Merced</t>
  </si>
  <si>
    <t>12/1/2019 ?</t>
  </si>
  <si>
    <t>Ahlem Farms Dairy is part of the new Hilmar dairy biogas to fuel cluster in Merced County, CA. The dairy will install a Tier 1 designed manure-only covered lagoon digester with integrated gas storage and pre-treatment. An on-dairy biogas conditioning and compressor station (shared with the neighboring Charles Ahlem Ranch digester project) will remove hydrogen sulfide and moisture and then meter and move the clean biogas into a gathering line connecting to the centralized biogas upgrading and interconnection facility. Biomethane, meeting PG&amp;E specifications, will be injected into the nearby point of receipt. The project's biomethane will be delivered as RCNG to fleets and CNG fueling stations in California. California Bioenergy is the project developer.</t>
  </si>
  <si>
    <t>https://www.cdfa.ca.gov/oefi/ddrdp/docs/DDRDP_Report_March2021.pdf 
https://www.cdfa.ca.gov/oefi/DDRDP/docs/DDRDP_Project_Level_Data.pdf</t>
  </si>
  <si>
    <t xml:space="preserve">Manure pond </t>
  </si>
  <si>
    <t xml:space="preserve">Ahlem Farms Dairy Digester Project is a new covered lagoon digester at Ahlem Farms Vista in Stanislaus County, California. The project is owned by Denair Biogas and will be a part of the Merced Pipeline cluster This cluster is under construction and will deliver to the PG&amp;E pipeline via the operational California Energy Exchange interconnect. The biogas from this new digester will be transported via the private, low-pressure pipeline to a new nearby gas upgrading satellite hub. Once there, it will be upgraded to pipeline quality. Then the biogas will be compressed and delivered to the Merced Pipeline injection site via CNG-fueled truck. The fuel will be used for onsite CNG fueling or injected into the CEEC-PG&amp;E pipeline. The project is developed by Maas Energy Works. Making use of 43.5% of DDRDP awards, this project team has completed 81% (13 of the 16) of all operational CDFA-funded digester projects, and 100% (10 out of 10) of all operational CDFA-funded vehicle fuel projects. </t>
  </si>
  <si>
    <t>http://biomassmagazine.com/articles/15849/aemetis-closes-on-dairy-digester-rng-equity-investment http://www.aemetis.com/aemetis-biogas-project-awarded-4-1-million-grant-for-biogas-upgrading/
http://www.aemetis.com/aemetis-closes-non-dilutive-30-million-equity-investment-to-build-biomethane-pipelines-and-dairy-digesters-to-produce-below-zero-carbon-renewable-natural-gas-rng/https://www.cdfa.ca.gov/oefi/ddrdp/docs/DDRDP_Report_March2021.pdf 
https://www.cdfa.ca.gov/oefi/DDRDP/docs/DDRDP_Project_Level_Data.pdf</t>
  </si>
  <si>
    <t>Ahlem Farms Jerseys AAFK Central Dairy Digester Cluster</t>
  </si>
  <si>
    <t xml:space="preserve">Aemetis Biogas </t>
  </si>
  <si>
    <t xml:space="preserve">The Aemetis Biogas project team will install a covered lagoon digester at the project site. When complete, the proposed digester will produce biogas, which after being processed to remove hydrogen sulfide (H2S), will be conveyed via private pipeline to the Aemetis Advanced Fuels Keyes facility. There, Aemetis will further upgrade the biogas to pipeline-quality, negative-carbon-intensity renewable natural gas (RNG) suitable for use as transportation fuel. Aemetis will sell a portion of the RNG to local fleets via its onsite RNG fueling station and will direct the remainder to sale to larger fleets such as UPS, PepsiCo, LA Metro, and Toyota via the Pacific Gas &amp; Electric (PG&amp;E) pipeline, or for use as energy at AAFK to produce renewable ethanol, thus replacing carbon-based natural gas.  The project will serve as one of 17 foundational digesters in the Aemetis Central Dairy Digester Cluster in Stanislaus and Merced Counties, an area with minimal CDFA investment. Aemetis plans to grow this cluster to 30 dairies by 2023. Aemetis Biogas LLC will complete and commission the first two dairy digester projects in the cluster, and related four-mile private gas pipeline, in May 2020. </t>
  </si>
  <si>
    <t>Albert Mendes Dairy AAFK Central Dairy Digester Cluster</t>
  </si>
  <si>
    <t xml:space="preserve">The Aemetis Biogas project team will install a covered lagoon digester at the project site. When complete, the proposed digester will produce biogas, which after being processed to remove hydrogen sulfide (H2S), will be conveyed via private pipeline to the Aemetis Advanced Fuels Keyes facility. There, Aemetis will further upgrade the biogas to pipeline-quality, negative-carbon-intensity renewable natural gas (RNG) suitable for use as transportation fuel. Aemetis will sell a portion of the RNG to local fleets via its onsite RNG fueling station and will direct the remainder to sale to larger fleets such as UPS, PepsiCo, LA Metro, and Toyota via the Pacific Gas &amp; Electric (PG&amp;E) pipeline, or for use as energy at AAFK to produce renewable ethanol, thus replacing carbon-based natural gas. The project will serve as one of 17 foundational digesters in the Aemetis Central Dairy Digester Cluster in Stanislaus and Merced Counties, an area with minimal CDFA investment. Aemetis plans to grow this cluster to 30 dairies by 2023. Aemetis Biogas LLC will complete and commission the first two dairy digester projects in the cluster, and related four-mile private gas pipeline, in May 2020. </t>
  </si>
  <si>
    <t xml:space="preserve">Aria Moovers- Cow Palace (BP, Aria) </t>
  </si>
  <si>
    <t>Aria RNG Moovers- Red Top (BP, Aria)</t>
  </si>
  <si>
    <t> </t>
  </si>
  <si>
    <t xml:space="preserve">12/1/2019 ? </t>
  </si>
  <si>
    <t>manure pond</t>
  </si>
  <si>
    <t>Avalon Dairy Digester Project (Calgren cluster)</t>
  </si>
  <si>
    <t>Avalon Dairy Digester Project is a new covered lagoon digester processing dairy manure in Kern County, California. The project is 100% producer-owned by host dairy Rock View Farms / DeGroot family, and developed and operated by Maas Energy Works. The project will deliver biogas to the Calgren Dairy Fuels cluster. This Cluster is operational, producing biogas from five digesters and injecting renewable natural gas into the SoCalGas pipeline. The methane-rich biogas from the digester will be ompressed on site and then hauled using cleanburning renewable CNG-fueled trucks and compressed natural gas tube trailers to create a virtual pipeline the to the cluster's central hub. Once at the hub, it will be used to fuel partner and public trucks at an on-site compressed natural gas fueling station. The remainder of the gas will be injected into the adjacent SoCalGas utility pipeline for delivery to other CNG fueling stations around the Central Valley and the state.</t>
  </si>
  <si>
    <t>Charles Ahlem Ranch Dairy Biogas (Hilmar cluster)</t>
  </si>
  <si>
    <t>Clauss and Sunwest Dairy Biogas (Hilmar cluster)</t>
  </si>
  <si>
    <t xml:space="preserve">Clauss and Sunwest Dairies are part of the new Hilmar dairy biogas to fuel cluster in Merced County, CA. The dairy will install a shared Tier 1 designed manure-only covered lagoon digester with integrated gas storage and pre-treatment. An on-dairy biogas conditioning and compressor station (shared with the neighboring Yosemite dairy digester project) will remove hydrogen sulfide and moisture and then meter and move the clean biogas into a gathering line connecting to the centralized biogas upgrading and interconnection facility. Biomethane, meeting SoCalGas Rule 30, will be injected into the nearby point of receipt. The project's biomethane as R-CNG to fleets and CNG fueling stations in California. California Bioenergy is the project developer </t>
  </si>
  <si>
    <t xml:space="preserve">Curtimade Dairy Biogas (South Tulare cluster) </t>
  </si>
  <si>
    <t xml:space="preserve">Tulare </t>
  </si>
  <si>
    <t xml:space="preserve">manure pond </t>
  </si>
  <si>
    <t>Curtimade Dairy joins the South Tulare dairy biogas to fuel cluster. The dairy will install a Tier 1 designed manureonly covered lagoon digester with integrated gas storage and pre-treatment. An on-dairy biogas conditioning and compressor station will remove hydrogen sulfide and moisture and then meter and move the clean biogas into a gathering line connecting to the centralized biogas upgrading facility. Biomethane, meeting SoCalGas Rule 30, will be injected into co-located point of receipt. The project's biomethane will be delivered as R-CNG to fleets and CNG fueling stations in California. California Bioenergy is the project developer</t>
  </si>
  <si>
    <t xml:space="preserve">Dairyland Farms Dairy Biogas (South Tulare cluster) </t>
  </si>
  <si>
    <t>Dairyland Farms Dairy joins the South Tulare dairy biogas to fuel cluster. The dairy will install a Tier 1 designed manure-only covered lagoon digester with integrated gas storage and pre-treatment. An on-dairy biogas conditioning and compressor station will remove hydrogen sulfide and moisture and then meter and move the clean biogas into a gathering line connecting to the centralized biogas upgrading facility. Biomethane, meeting SoCalGas Rule 30, will be injected into co-located point of receipt. The project's biomethane will be delivered as R-CNG to fleets and CNG fueling stations in California. California Bioenergy is the project developer.</t>
  </si>
  <si>
    <t xml:space="preserve">De Boer Dairy Digester Pipeline Project (Calgren DF cluster) </t>
  </si>
  <si>
    <t>Calgren Dairy Fuels</t>
  </si>
  <si>
    <t>De Boer Dairy Digester Pipeline Project is a new covered lagoon digester processing dairy manure at De Boer Dairy in Tulare County, California. The project is owned by Calgren Dairy Fuels and will be a part of the Calgren Dairy Fuels (CDF) Cluster, developed by Maas Energy Works. This Cluster is operational, producing biogas from five digesters and injecting renewable natural gas into the SoCalGas pipeline. CDF has started physical construction on all 6 of its DDRDP awards received in 2018 and all are scheduled to be online in 2019. The biogas from this new digester will be transported via the Cluster's private, low-pressure pipeline to the cluster's hub near the Calgren ethanol refinery. Once there, it will be used to fuel partner and public trucks at an on-site compressed natural gas fueling station. The remainder of the gas will be injected into the SoCalGas pipeline for delivery to contracted CNG fueling stations around the Central Valley and the state.</t>
  </si>
  <si>
    <t>De Groot South</t>
  </si>
  <si>
    <t>Planned completion 9/30/2020</t>
  </si>
  <si>
    <t>South Dairy, LP, a dairy operation located in Hanford,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</si>
  <si>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The Decade Centralized Dairy Digester Pipeline Project is a new covered lagoon digester processing dairy manure from two dairies in Tulare County, California. The project is 100% farmer owned by the host dairymen Eric and Clarinda Westra &amp; Richard and Donna Westra. The project is a part of the Hanford-Lakeside Pipeline cluster, developed by Maas Energy Works. The methane-rich biogas from the digester will be transported via private, low-pressure pipeline to the cluster's central hub near River Ranch. Once at the hub, it will be used to fuel partner and public trucks at an on-site compressed natural gas fueling station. The remainder of the gas will be injected into the adjacent SoCalGas utility pipeline for delivery to other CNG fueling stations around the Central Valley and the state.</t>
  </si>
  <si>
    <t>Dixie Creek Dairy Digester Pipeline Project is a new covered lagoon digester processing in Kings County, California. The project is a part of the Lakeside Pipeline cluster, developed by Maas Energy Works and majority owned by participating dairy families. This cluster was selected as an SB-1383 Pilot Project. This individual digester 100% producer-owned by the host dairy family, and developed and operated by Maas Energy Works. The methane-rich biogas from the digester will be transported via private, low-pressure pipeline to the cluster's central hub near River Ranch dairy. There, the biogas will be used to fuel partner and public trucks at an on-site compressed natural gas fueling station. The remainder of the gas will be injected into the SoCalGas utility pipeline for delivery to contracted CNG fueling stations around the state--similar to the Project Team's and DDRDP's successful Calgren Dairy Fuels cluster, which is currently injecting utility-grade renewable natural gas.</t>
  </si>
  <si>
    <t>Planned completion 3/31/2021</t>
  </si>
  <si>
    <t>DJ South Dairy Digester Pipeline Project is a new covered lagoon digester processing dairy manure in Merced County, California--opening up digester development in California's second largest dairy county. The project is owned by DJ South Dairy Biogas LLC and is a part of the Merced-South cluster, developed by Maas Energy Works. The methane-rich biogas from the digester will be transported via private, low-pressure pipeline to the cluster's central hub at the center of the dairy group. Once at the hub, the biogas will be used to fuel partner and public trucks at a new compressed natural gas fueling station. The remainder of the gas will be injected into the PG&amp;E utility pipeline for delivery to other CNG fueling stations around the Central Valley and the state.</t>
  </si>
  <si>
    <t>Double L Dairy Digester Pipeline Project is a new covered lagoon digester processing dairy manure in King's County, California. The project is owned by Double L Dairy Biogas LLC and is part of the HanfordLakeside Pipeline cluster, developed by Maas Energy Works. The methane-rich biogas from the digester will be transported via private, low-pressure pipeline to the cluster's central hub near River Ranch. Once at the hub, it will be used to fuel partner and public trucks at an on-site compressed natural gas fueling station. The remainder of the gas will be injected into the adjacent SoCalGas utility pipeline for delivery to other CNG fueling stations around the Central Valley and the state.</t>
  </si>
  <si>
    <t>Elk Creek Dairy Biogas (South Tulare cluster)</t>
  </si>
  <si>
    <t>Elk Creek Dairy joins the South Tulare dairy biogas to fuel cluster. The dairy will install a Tier 1 designed manure only covered lagoon digester with integrated gas storage and pre-treatment. An on-dairy biogas conditioning and compressor station will remove hydrogen sulfide and moisture and then meter and move the clean biogas into a gathering line connecting to the centralized biogas upgrading facility. Biomethane, meeting SoCalGas Rule 30, will be injected into co-located point of receipt. The project's biomethane will be delivered as R-CNG to fleets and CNG fueling stations in California. California Bioenergy is the project developer.</t>
  </si>
  <si>
    <t xml:space="preserve">Elkhorn Dairy Biogas (North Visalia cluster) </t>
  </si>
  <si>
    <t>Elkhorn Dairy is part of the established North Visalia dairy biogas to fuel cluster in Tulare County, CA. The dairy will install a Tier 1 designed manure only covered lagoon igester with integrated gas storage and pre-treatment. An on-dairy biogas conditioning and compressor will remove hydrogen sulfide and moisture and then meter and move the clean biogas into a gathering line extension connecting to centralized biogas upgrading and interconnection facility. Biomethane, meeting SoCalGas Rule 30, will be injected into the co-located point of receipt. The project's biomethane will be delivered as R-CNG to fleets and CNG fueling stations in California. California Bioenergy is the project developer.</t>
  </si>
  <si>
    <t xml:space="preserve">Fern Oaks Dairy Digester Pipeline Project (Calgren DF cluster) </t>
  </si>
  <si>
    <t>Fern Oaks Dairy Digester Pipeline Project is a new covered lagoon digester processing dairy manure at Fern Oaks Dairy in Tulare County, California. The project is owned by Calgren Dairy Fuels and will be a part of the Calgren Dairy Fuels (CDF) Cluster, developed by Maas Energy Works. This Cluster is operational, producing biogas from five digesters and injecting renewable natural gas into the SoCalGas pipeline. CDF has started physical construction on all 6 of its DDRDP awards received in 2018 and all are cheduled to be online in 2019. The biogas from this new digester will be transported via the Cluster's private, low-pressure pipeline to the cluster's hub near the Calgren ethanol refinery. Once there, it will be used to fuel partner and public trucks at an on-site compressed natural gas fueling station. The remainder of the gas will be injected into the SoCalGas pipeline for delivery to contracted CNG fueling stations around the Central Valley and the state.</t>
  </si>
  <si>
    <t>https://www.cdfa.ca.gov/oefi/ddrdp/docs/2018_DDRDP_ProjectsAwarded.pdf
https://www.cdfa.ca.gov/oefi/DDRDP/docs/DDRDP_Project_Level_Data.pdfhttps://www.arb.ca.gov/cc/capandtrade/auctionproceeds/historicdata_2020AR.xlsx</t>
  </si>
  <si>
    <t>Planned completion 3/31/2020</t>
  </si>
  <si>
    <t>Five H Dairy Digester Pipeline Project is a new covered lagoon digester processing dairy manure in Merced County, California--opening up digester development in California's second largest dairy county. The project is owned by Five H Dairy Biogas LLC and is a part of the Merced-South cluster, developed by Maas Energy Works. The methane-rich biogas from the digester will be transported via private, low-pressure pipeline to the cluster's central hub at the center of the dairy group. Once at the hub, the biogas will be used to fuel partner and public trucks at a new compressed natural gas fueling station. The remainder of the gas will be injected into the PG&amp;E utility pipeline for delivery to other CNG fueling stations around the Central Valley and the state</t>
  </si>
  <si>
    <t>FM Jerseys Dairy Digester Pipeline Project is a new covered lagoon digester processing dairy manure in Tulare County, California. The project is a part of the Calgren Dairy Fuels Cluster, developed by Maas Energy Works. FM Jerseys (located on the opposite of the highway and railroad tracks) will greatly expand the reach of this cluster by delivering gas via virtual pipeline--rapidly growing the geographic area served by the state's first dairy fuels cluster. The methane-rich biogas from the digester will be hauled using clean-burning renewable CNG-fueled trucks and compressed natural gas tube trailers to create a virtual pipeline to the cluster's central hub at the Calgren ethanol refinery. Once at the hub, it will be used to fuel partner and public trucks at an on-site compressed natural gas fueling station. The remainder of the gas will be injected into the adjacent SoCalGas utility pipeline for delivery to other CNG fueling stations around the Central Valley and the state.</t>
  </si>
  <si>
    <t>Friesian Farms Dairy Biogas (S. Tulare cluster)</t>
  </si>
  <si>
    <t>Friesian Farms Dairy joins the South Tulare dairy biogas to fuel cluster. The dairy will install a Tier 1 designed manure-only covered lagoon digester with integrated gas storage and pre-treatment. An on-dairy biogas conditioning and compressor station will remove hydrogen sulfide and moisture and then meter and move the clean biogas into a gathering line connecting to the centralized biogas upgrading facility. Biomethane, meeting SoCalGas Rule 30, will be injected into co-located point of receipt. The project's biomethane will be delivered as R-CNG to fleets and CNG fueling stations in California. California Bioenergy is the project developer.</t>
  </si>
  <si>
    <t>Gerben Leyendekker Dairy Biogas (North Visalia cluster)</t>
  </si>
  <si>
    <t>Gerben Leyendekker Dairy joins the North Visalia dairy biogas to fuel cluster in Tulare County, CA. The dairy will install a Tier 1 designed manure-only covered lagoon digester with integrated gas storage and pre-treatment. An on-dairy biogas conditioning and compressor (shared with both the Art Leyendekker and GP Dairy neighboring digester projects) will remove hydrogen sulfide and moisture and then meter and move the clean biogas into a gathering line extension connecting to centralized biogas  pgrading and interconnection facility. Biomethane, meeting SoCalGas Rule 30, will be injected into the co-located point of receipt. The project's biomethane will be delivered as R-CNG to fleets and CNG fueling stations in California. California Bioenergy is the project developer.</t>
  </si>
  <si>
    <t xml:space="preserve">GP Dairy Biogas (North Visalia cluster) </t>
  </si>
  <si>
    <t>GP Dairy is part of the established North Visalia dairy biogas to fuel cluster in Tulare County, CA. The dairy will install a Tier 1 designed manure-only covered lagoon digester with integrated gas storage and pre-treatment. An on-dairy biogas conditioning and compressor (shared with both the Gerben Leyendekker and Art Leyendecker Dairy neighboring digester projects) will remove hydrogen sulfide and moisture and then meter and move the clean biogas into a gathering line extension connecting to centralized biogas upgrading and interconnection facility. Biomethane, meeting SoCalGas Rule 30, will be injected into the co-located point of receipt. The project's biomethane will be delivered as R-CNG to fleets and CNG fueling stations in California. California Bioenergy is the project developer.</t>
  </si>
  <si>
    <t xml:space="preserve">Hettinga Centralized Dairy Digester Pipeline Project (Calgren Dairy Fuels cluster) </t>
  </si>
  <si>
    <t>Hettinga Centralized Dairy Digester Pipeline Project is a new covered lagoon digester processing dairy manure at Hettinga Dairy in Tulare County, California. The project is owned by Calgren Dairy Fuels and will be a part of the Calgren Dairy Fuels (CDF) Cluster, developed by Maas Energy Works. This Cluster is operational, producing biogas from five digesters and injecting renewable natural gas into the SoCalGas pipeline. CDF has started physical construction on all 6 of its DDRDP awards received in 2018 and all are scheduled to be online in 2019. The biogas from this new digester will be transported via the Cluster's private, low-pressure pipeline to the cluster's hub near the Calgren ethanol refinery. Once there, it will be used to fuel partner and public trucks at an on-site compressed natural gas fueling station. The remainder of the gas will be injected into the SoCalGas pipeline for delivery to contracted CNG fueling stations around the Central Valley and the state.</t>
  </si>
  <si>
    <t xml:space="preserve">High Roller Dairy Digester Pipeline Project (Lakeside Pipeline cluster) </t>
  </si>
  <si>
    <t>High Roller Dairy Digester Pipeline Project is a new covered lagoon digester processing in Kings County, California. The project is a part of the Lakeside Pipeline cluster, developed by Maas Energy Works and majority owned by participating dairy families. This cluster was selected as an SB-1383 Pilot Project. This individual digester 100% producer-owned by the host dairy family, and developed and operated by Maas Energy Works. The methane-rich biogas from the digester will be transported via private, low-pressure pipeline to the cluster's central hub near River Ranch dairy. There, the biogas will be used to fuel partner and public trucks at an on-site compressed natural gas fueling station. The remainder of the gas will be injected into the SoCalGas utility pipeline for delivery to contracted CNG fueling stations around the state--similar to the Project Team's and DDRDP's successful Calgren Dairy Fuels cluster, which is currently injecting utility-grade renewable natural gas.</t>
  </si>
  <si>
    <t>Homen Dairy Digester Pipeline Project (Merced cluster)</t>
  </si>
  <si>
    <t xml:space="preserve">Homen Dairy Digester Pipeline Project is a new covered lagoon digester processing manure at Homen Dairy in Merced County, California. The project is a part of the Merced Pipeline cluster, developed by Maas Energy Works. This cluster was selected as an SB-1383 Pilot Project. The digester will be owned by Maas Energy Works under a profit sharing agreement with the host dairy family. The methane-rich biogas from the digester will be transported via private, low-pressure pipe to the cluster's central hub near Vander Woude Dairy. Once there, the biogas will be used to fuel partner and public trucks at an on-site compressed natural gas fueling station. The remainder of the gas will be conditioned and injected into the PG&amp;E utility pipeline for delivery to contracted CNG fueling stations around the Central Valley and the state. The model is similar to the Project Team's and DDRDP's successful Calgren Dairy Fuels cluster, which is currently in operation and producing pipeline-injected CNG. </t>
  </si>
  <si>
    <t>Hoogendam Dairy Digester Pipeline Project is a new covered lagoon digester processing dairy manure in Merced County, California--opening up digester development in California's second largest dairy county. The project is owned by Hoogendam Dairy Biogas LLC and is a part of the Merced-South cluster, developed by Maas Energy Works. The methane-rich biogas from the digester will be transported via private, low-pressure pipeline to the cluster's central hub at the center of the dairy group. Once at the hub, the biogas will be used to fuel partner and public trucks at a new compressed natural gas fueling station. The remainder of the gas will be injected into the PG&amp;E utility pipeline for delivery to other CNG fueling stations around the Central Valley and the state.</t>
  </si>
  <si>
    <t>Horizon Jersey Dairy, a dairy operation located in Tipton,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</si>
  <si>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 xml:space="preserve">James Ahlem Dairy Biogas (Hilmar cluster) </t>
  </si>
  <si>
    <t>James Ahlem Dairy is part of the new Hilmar dairy biogas to fuel cluster in Merced County, CA. The dairy will install a Tier 1 designed manure only covered lagoon digester with integrated gas storage and pre-treatment. An on-dairy biogas conditioning and compressor will remove hydrogen sulfide and moisture and then meter and move the clean biogas into a gathering line connecting to the centralized biogas upgrading and interconnection facility. Biomethane, meeting PG&amp;E specifications, will be injected into the nearby point of receipt. The project's biomethane will be delivered as R-CNG to fleets and CNG fueling stations in California. California Bioenergy is the project developer.</t>
  </si>
  <si>
    <t>JR Dairy Digester Project (Calgren Cluster)</t>
  </si>
  <si>
    <t xml:space="preserve">JR Dairy Digester Project is a new covered lagoon digester at JR Dairy in Tulare County, California. The project is owned by Calgren Dairy Fuels and will be a part of the Calgren Dairy Fuels Cluster. This cluster is operational, producing biogas from 10 connected digesters and injecting renewable natural gas into the SoCalGas pipeline. The biogas from this new digester will be transported via the cluster's private, low-pressure pipeline to the gas upgrading hub. Once there, it will fuel partner and public trucks at an on-site compressed natural gas fueling station. The remainder of the biogas will be injected into the SoCalGas pipeline for delivery to contracted CNG fueling stations in the Central Valley and the state. The project is developed by Maas Energy Works. Making use of 43.5% of DDRDP awards, this project team has completed 81% (13 of the 16) of all operational CDFA-funded digester projects, and 100% (10 out of 10) of all operational CDFA-funded vehicle fuel projects. </t>
  </si>
  <si>
    <t>Vanderham Dairy Digester Pipeline Project is a new covered lagoon digester processing dairy manure in Fresno County, California. The project is 100% farmer owned by the host L&amp;J Vanderham Dairy. The project is a part of the Five Points Pipeline cluster, developed by Maas Energy Works. The methane-rich biogas from the digester will be transported via private, low-pressure pipeline to the cluster's central hub near the operational Open Sky Ranch digester. That digester was funded by CDFA in 2015, brought online in 2016, and is host to an older PG&amp;E pipeline injection facility which is being restarted for the Five Points cluster. Once at the hub, the biogas will be used to fuel partner and public trucks at an on-site compressed natural gas fueling station. The remainder of the gas will be injected into the adjacent PG&amp;E utility pipeline for delivery to contracted CNG fueling stations around the Central Valley and the state.</t>
  </si>
  <si>
    <t xml:space="preserve">Lakeside Dairy Digester Pipeline Project (Lakeside cluster) </t>
  </si>
  <si>
    <t xml:space="preserve">Lakeside Dairy Digester Pipeline Project is a new covered lagoon digester processing in Kings County, California. The project is a part of the Lakeside Pipeline cluster, veloped by Maas Energy Works and majority owned by participating dairy families. This cluster was selected as an SB-1383 Pilot Project. This individual digester 100% producer-owned by the host dairy family, and developed and operated by Maas Energy Works. The methane rich biogas from the digester will be transported via private, low-pressure pipeline to the cluster's central hub near River Ranch dairy. There, the biogas will be used to fuel partner and public trucks at an on-site compressed natural gas fueling station. The remainder of the gas will be injected into the SoCalGas utility pipeline for delivery to contracted CNG fueling stations around the state--similar to the Project Team's and DDRDP's successful Calgren Dairy Fuels cluster, which is currently injecting utility-grade renewable natural gas. </t>
  </si>
  <si>
    <t xml:space="preserve">McMoo Farms Dairy Biogas (Kern cluster) </t>
  </si>
  <si>
    <t>McMoo Farms joins the Kern dairy biogas to fuel cluster near Bakersfield, CA. The dairy will install a Tier 1 designed manure only covered lagoon digester with integrated gas storage and pre-treatment. An on-dairy biogas conditioning and compressor station, shared with the neighboring dairy, will remove hydrogen sulfide and moisture and then meter and move the clean biogas into a gathering line connecting to the centralized biogas upgrading facility and interconnection located at BV Dairy. Biomethane,  meeting SoCalGas Rule 30, will be injected into the co-located point of receipt. The project's biomethane will be delivered as R-CNG to fleets and CNG fueling stations in California. California Bioenergy is the project developer.</t>
  </si>
  <si>
    <t>Meirinho Dairy Digester Pipeline Project is a new covered lagoon digester processing dairy manure in Merced County, California--opening up digester development in California's second largest dairy county. The project is owned by Meirinho Dairy Biogas LLC and is a part of the Merced-South cluster, developed by Maas Energy Works. The methane-rich biogas from the digester will be transported via private, low-pressure pipeline to the cluster's central hub at the center of the dairy group. Once at the hub, the biogas will be used to fuel partner and public trucks at a new compressed natural gas fueling station. The remainder of the gas will be injected into the PG&amp;E utility pipeline for delivery to other CNG fueling stations around the Central Valley and the state.</t>
  </si>
  <si>
    <t xml:space="preserve">Melo Dairy Digester Pipeline Project (Merced cluster) </t>
  </si>
  <si>
    <t>Melo Dairy Digester Pipeline Project is a new covered lagoon digester processing manure at Melo Dairy in Merced County, California. The project is a part of the Merced Pipeline cluster, developed by Maas Energy Works. This cluster was selected as an SB-1383 Pilot Project. The digester will be owned by Maas Energy Works under a profit sharing agreement with the host dairy family. The methane-rich biogas from the digester will be transported via private, low-pressure pipeline to the cluster's central hub near Vander Woude Dairy. Once there, the biogas will be used to fuel partner and public trucks at an on-site compressed natural gas fueling station. The remainder of the gas will be conditioned and injected into the PG&amp;E utility pipeline for delivery to contracted CNG fueling stations around the Central Valley and the state. The model is similar to the Project Team's and DDRDP's successful Calgren Dairy Fuels cluster, which is currently in operation and producing pipeline-injected CNG.</t>
  </si>
  <si>
    <t>Northstar Dairy Digester Pipeline Project (Calgren Dairy Fuels cluster)</t>
  </si>
  <si>
    <t>Northstar Dairy Digester Pipeline Project is a new covered lagoon digester processing dairy manure at North Star Dairy in Tulare County, California. The project is owned by Calgren Dairy Fuels and will be a part of the Calgren Dairy Fuels (CDF) Cluster, developed by Maas Energy Works. This Cluster is operational, producing biogas from five digesters and injecting renewable natural gas into the SoCalGas pipeline. CDF has started physical construction on all 6 of its DDRDP awards received in 2018 and all are scheduled to be online in 2019. The biogas from this new digester will be transported via the Cluster's private, low-pressure pipeline to the cluster's hub near the Calgren ethanol refinery. Once there, it will be used to fuel partner and public trucks at an on-site compressed natural gas fueling station. The remainder of the gas will be injected into the SoCalGas pipeline for delivery to contracted CNG fueling stations around the Central Valley and the state.</t>
  </si>
  <si>
    <t>Nyman Brothers Dairy Biogas (Hilmar cluster)</t>
  </si>
  <si>
    <t>Nyman Brothers Dairy is part of the new Hilmar dairy biogas to fuel cluster in Merced County, CA. The dairy will install a Tier 1 designed manure only covered lagoon digester with integrated gas storage and pre-treatment. An on-dairy biogas conditioning and compressor will remove hydrogen sulfide and moisture and then meter and move the clean biogas into a gathering line connecting to the centralized biogas upgrading and interconnection facility. Biomethane, meeting PG&amp;E specifications, will be injected into the nearby point of receipt. The project's biomethane will be delivered as R-CNG to fleets and CNG fueling stations in California. California Bioenergy is the project developer.</t>
  </si>
  <si>
    <t>Oliveira Dairy AAFK Central Dairy Digester Cluster</t>
  </si>
  <si>
    <t>The Aemetis Biogas project team will install a covered lagoon digester at the project site. When complete, the proposed digester will produce biogas, which after being processed to remove hydrogen sulfide (H2S), will be conveyed via private pipeline to the Aemetis Advanced Fuels Keyes facility. There, Aemetis will further upgrade the biogas to pipeline-quality, negative-carbon-intensity renewable natural gas (RNG) suitable for use as transportation fuel. Aemetis will sell a portion of the RNG to local fleets via its onsite RNG fueling station and will direct the remainder to sale to larger fleets such as UPS, PepsiCo, LA Metro, and Toyota via the Pacific Gas &amp; Electric (PG&amp;E) pipeline, or for use as energy at AAFK to produce renewable ethanol, thus replacing carbon-based natural gas. Through access to $30 million in private investment funds, Aemetis has the resources to immediately start work on the project and stay on schedule through completion without extensions or funding-related delays. Aemetis has assembled a deep and experienced team to design, build, and operate the digester and related gas cleanup HUB. The Aemetis team has designed and completed projects of even greater scope, budget, and complexity, as well as 37 dairy digesters projects in California. The project will serve as one of 17 foundational digesters in the Aemetis Central Dairy Digester Cluster in Stanislaus and Merced Counties, an area with minimal CDFA investment. Aemetis plans to grow this cluster to 30 dairies by 2023. Aemetis Biogas LLC will complete and commission the first two dairy digester projects in the cluster, and related four-mile private gas pipeline, in May 2020.</t>
  </si>
  <si>
    <t xml:space="preserve">Poplar Lane Dairy Digester Pipeline Project (Lakeside Pipeline cluster) </t>
  </si>
  <si>
    <t>Poplar Lane Dairy Digester Pipeline Project is a new covered lagoon digester processing dairy manure. The project is a part of the Lakeside Pipeline cluster, developed by Maas Energy Works and majority owned by participating dairy families. This cluster was selected as an SB-1383 Pilot Project. This individual digester is owned Maas Energy Works, under a profit-sharing agreement with the host dairy family. The methane-rich biogas from the digester will be transported via private, low-pressure pipe to the cluster's central hub near River Ranch dairy. There, the biogas will be used to fuel partner and public trucks at an on-site compressed natural gas fueling station. The remainder of the gas will be injected into the SoCalGas utility pipeline for delivery to contracted CNG fueling stations around the state-similar to the Project Team's &amp; DDRDP's successful Calgren Dairy Fuels cluster, which is currently injecting utility-grade RCNG.</t>
  </si>
  <si>
    <t>Red Rock Dairy Digester Pipeline Project is a new covered lagoon digester processing dairy manure in Merced County, California--opening up digester development in California's second largest dairy county. The project is owned by Red Rock Dairy Biogas LLC and is a part of the Merced-South cluster, developed by Maas Energy Works. The methane-rich biogas from the digester will be transported via private, low-pressure pipeline to the cluster's central hub at the center of the dairy group. Once at the hub, the biogas will be used to fuel partner and public trucks at a new compressed natural gas fueling station. The remainder of the gas will be injected into the PG&amp;E utility pipeline for delivery to other CNG fueling stations around the Central Valley and the state.</t>
  </si>
  <si>
    <t xml:space="preserve">Rib-Arrow Dairy Biogas (South Tulare cluster) </t>
  </si>
  <si>
    <t>Rib-Arrow Dairy joins the South Tulare dairy biogas to fuel cluster. The dairy will install a Tier 1 designed manure only covered lagoon digester with integrated gas storage and pre-treatment. An on-dairy biogas conditioning and compressor station will remove hydrogen sulfide and moisture and then meter and move the clean biogas into a gathering line connecting to the centralized biogas upgrading facility. Biomethane, meeting SoCalGas Rule 30, will be injected into co-located point of receipt. The project's biomethane will be delivered as R-CNG to fleets and CNG fueling stations in California. California Bioenergy is the project developer.</t>
  </si>
  <si>
    <t xml:space="preserve">Ribeiro Dairy Biogas (South Tulare cluster) </t>
  </si>
  <si>
    <t>Ribeiro Dairy joins the South Tulare dairy biogas to fuel cluster. The dairy will install a Tier 1 designed manure only covered lagoon digester with integrated gas storage and pre-treatment. An on-dairy biogas conditioning and compressor station will remove hydrogen sulfide and moisture and then meter and move the clean biogas into a gathering line connecting to the centralized biogas upgrading facility. Biomethane, meeting SoCalGas Rule 30, will be injected into co-located point of receipt. The project's biomethane will be delivered as R-CNG to fleets and CNG fueling stations in California. California Bioenergy is the project developer.</t>
  </si>
  <si>
    <t xml:space="preserve">Rio Blanco Dairy Biogas (South Tulare cluster) </t>
  </si>
  <si>
    <t>Rio Blanco Dairy joins the South Tulare dairy biogas to fuel cluster. The dairy will install a Tier 1 designed manure only covered lagoon digester with integrated gas storage and pre-treatment. An on-dairy biogas conditioning and compressor station will remove hydrogen sulfide and moisture and then meter and move the clean biogas into a gathering line connecting to the centralized biogas upgrading facility. Biomethane, meeting SoCalGas Rule 30, will be injected into co-located point of receipt. The project's biomethane will be delivered as R-CNG to fleets and CNG fueling stations in California. California Bioenergy is the project developer.</t>
  </si>
  <si>
    <t>Rocking Horse</t>
  </si>
  <si>
    <t>Rocking Horse Dairy, a dairy operation located in Hanford,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</si>
  <si>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Planned complete 3/31/2021</t>
  </si>
  <si>
    <t>Rockshar Dairy Digester Pipeline Project is a new covered lagoon digester processing dairy manure in Merced County, California--opening up digester development in California's second largest dairy county. The project is owned by Rockshar Dairy Biogas LLC and is a part of the Merced-South cluster, developed by Maas Energy Works. The methane-rich biogas from the digester will be transported via private, low-pressure pipeline to the cluster's central hub at the center of the dairy group. Once at the hub, the biogas will be used to fuel partner and public trucks at a new compressed natural gas fueling station. The remainder of the gas will be injected into the PG&amp;E utility pipeline for delivery to other CNG fueling stations around the Central Valley and the state.</t>
  </si>
  <si>
    <t>S&amp;S Dairy AAFK Central Dairy Digester Cluster</t>
  </si>
  <si>
    <t xml:space="preserve">Schott Dairy Digester Pipeline Project (Calgren Dairy Fuels cluster) </t>
  </si>
  <si>
    <t>Schott Dairy Digester Pipeline Project is a new covered lagoon digester processing dairy manure at Schott Dairy in Tulare County, California. The project is owned by Calgren Dairy Fuels and will be a part of the Calgren Dairy Fuels (CDF) Cluster, developed by Maas Energy Works. This Cluster is operational, producing biogas from five digesters and injecting renewable natural gas into the SoCalGas pipeline. CDF has started physical construction on all 6 of its DDRDP awards received in 2018 and all are scheduled to be online in 2019. The biogas from this new digester will be transported via the Cluster's private, low-pressure pipeline to the cluster's hub near the Calgren ethanol refinery. Once there, it will be used to fuel partner and public trucks at an on-site compressed natural gas fueling station. The remainder of the gas will be injected  into the SoCalGas pipeline for delivery to contracted CNG fueling stations around the Central Valley and the state.</t>
  </si>
  <si>
    <t xml:space="preserve">Simoes Centralized Digester Pipeline Project  (Calgren DF cluster) </t>
  </si>
  <si>
    <t>Simoes Centralized Digester Pipeline Project is a new covered lagoon digester processing dairy manure at Simoes Dairy in Tulare County, California. The project is owned by Calgren Dairy Fuels and will be a part of the Calgren Dairy Fuels (CDF) Cluster, developed by Maas Energy Works. This Cluster is operational, producing biogas from five digesters and injecting renewable natural gas into the SoCalGas pipeline. CDF has started physical construction on all 6 of its DDRDP awards received in 2018 and all are scheduled to be online in 2019. The biogas from this new digester will be transported via the Cluster's private, low-pressure pipeline to the cluster's hub near the Calgren ethanol refinery. Once there, it will be used to fuel partner and public trucks at an on-site compressed natural gas fueling station. The remainder of the gas will be injected into the SoCalGas pipeline for delivery to contracted CNG fueling stations around the Central Valley and the state.</t>
  </si>
  <si>
    <t>Trinkler Dairy AAFK Central Dairy Digester Cluster</t>
  </si>
  <si>
    <t>Van Der Hoek Dairy Digester Pipeline Project (Five Points cluster)</t>
  </si>
  <si>
    <t>Van Der Hoek Dairy Digester Pipeline Project is a new covered lagoon digester processing dairy manure from Van Der Hoek Dairy, in Fresno County, California. The project is a part of the Five Points Pipeline cluster, developed by Maas Energy Works. The project is owned Maas Energy Works, under a profit sharing agreement with the host dairy family. The methane-rich biogas from the digester will be transported via private, low-pressure pipeline to the cluster's central hub near the operational Open Sky Ranch digester. That digester was funded by CDFA in 2015, brought online in 2016, and is host to an older PG&amp;E pipeline injection facility which is being restarted for the Five Points cluster. Once at the hub, the biogas will be used to fuel partner and public trucks at an on-site compressed natural gas fueling station. The remainder of the gas will be injected into the adjacent PG&amp;E utility pipeline for delivery to contracted CNG fueling stations around the Central Valley and the state.</t>
  </si>
  <si>
    <t xml:space="preserve">Van Der Kooi Dairy Digester Pipeline Project (Five Points cluster) </t>
  </si>
  <si>
    <t>Van Der Kooi Dairy Digester Pipeline Project is a new covered lagoon digester processing dairy manure in Fresno County, California. The project is 100% farmer owned by the host Charles Van Der Kooi Dairy. The project is a part of the Five Points Pipeline cluster, developed by Maas Energy Works. The methane-rich biogas from the digester will be transported via private, low-pressure pipeline to the cluster's central hub near the operational Open Sky Ranch digester. That digester was funded by CDFA in 2015, brought online in 2016, and is host to an older PG&amp;E pipeline injection facility which is being restarted for the Five Points cluster. Once at the hub, the biogas will be used to fuel partner and public trucks at an on-site compressed natural gas fueling station. The remainder of the gas will be injected into the adjacent PG&amp;E utility pipeline for delivery to contracted CNG fueling stations around the Central Valley and the state.</t>
  </si>
  <si>
    <t>Vander Woude Dairy Digester Pipeline Project is a new covered lagoon digester processing dairy manure in Merced County, California--opening up digester development in California's second largest dairy county. The project is 100% farmer-owned by host dairy family Simon and Chris Vander Woude. The project is a part of the Merced-South cluster, developed by Maas Energy Works. The methane-rich biogas from the digester will be transported via private, low-pressure pipeline to the cluster's central hub at the center of the dairy group. Once at the hub, the biogas will be used to fuel partner and public trucks at a new compressed natural gas fueling station. The remainder of the gas will be injected into the PG&amp;E utility pipeline for delivery to other CNG fueling stations around the Central Valley and the state</t>
  </si>
  <si>
    <t>Wickstrom Jersey Farms AAFK Central Dairy Digester Cluster</t>
  </si>
  <si>
    <t>Wilson Dairy Digester Project (Five Points Cluster)</t>
  </si>
  <si>
    <t xml:space="preserve">Wilson Dairy Digester Project is a new covered lagoon digester at J&amp;D Wilson and Sons Dairy in Fresno County, California. The project is owned by Wilson Dairy Biogas LLC and will be a part of the Five Points Pipeline Cluster. This cluster is under development and will deliver biogas to the PG&amp;E pipeline. The biogas from this new digester will be transported via the cluster's private, low-pressure pipeline to the gas upgrading hub. Once there, it will fuel partner and public trucks at an on-site CNG fueling station. The remainder of the biogas will be injected into the PG&amp;E pipeline for delivery to contracted CNG fueling stations in the Central Valley and the state. The project is developed by Maas Energy Works. Making use of 43.5% of DDRDP awards, this project team has completed 81% (13 of the 16) of all operational CDFA-funded digester projects, and 100% (10 out of 10) of all operational CDFA-funded vehicle fuel projects. </t>
  </si>
  <si>
    <t xml:space="preserve">Yosemite Jersey Dairy Biogas (Hilmar cluster) </t>
  </si>
  <si>
    <t>Yosemite Jersey Dairy is part of the new Hilmar dairy biogas to fuel cluster in Merced County, CA. The dairy will install a Tier 1 designed manure only covered lagoon digester with integrated gas storage and pre-treatment. An on-dairy biogas conditioning and compressor station (shared with the neighboring Clauss and Sunwest Dairies digester project) will remove hydrogen sulfide and moisture and then meter and move the clean biogas into a gathering line connecting to the centralized biogas upgrading and interconnection facility. Biomethane, meeting PG&amp;E specifications, will be injected into the nearby point of receipt. The project's biomethane will be delivered  as R-CNG to fleets and CNG fueling stations in California. California Bioenergy is the project developer.</t>
  </si>
  <si>
    <t xml:space="preserve">Weld </t>
  </si>
  <si>
    <t>July 2021</t>
  </si>
  <si>
    <t>Q3 2022</t>
  </si>
  <si>
    <t>Green Impact Partners</t>
  </si>
  <si>
    <t xml:space="preserve">Lagoon </t>
  </si>
  <si>
    <t>~11,000 milking cows</t>
  </si>
  <si>
    <t>-210 CI</t>
  </si>
  <si>
    <t>Designed for doing it in the future, but not happening yet</t>
  </si>
  <si>
    <t>http://yumapioneer.com/local_news/anaerobic-digester-planned-south-yuma/http://sheldonkye.com/index.html || https://static1.squarespace.com/static/53a09c47e4b050b5ad5bf4f5/t/5db8b105583bec29713a93c3/1572385042658/CEO+-+RNG+IN+TRANSPORTATION+-+COLORADO+MARKET+STUDY+2019+-+FINAL+%282%29.pdf
http://www.sheldonkye.com/projects.html</t>
  </si>
  <si>
    <t>Yuma County Anaerobic Digester</t>
  </si>
  <si>
    <t>Not farm located, but using livestock (dairy) manure</t>
  </si>
  <si>
    <t>Yuma</t>
  </si>
  <si>
    <t xml:space="preserve">Q4 2021 for beginning construction. </t>
  </si>
  <si>
    <t xml:space="preserve">Complete mix, 2 digesters.  </t>
  </si>
  <si>
    <t xml:space="preserve">Two complete mix digesters using dairy waste for feedstock with equipment supplied by Anaergia </t>
  </si>
  <si>
    <t xml:space="preserve">No, possibly in future </t>
  </si>
  <si>
    <t>5MW</t>
  </si>
  <si>
    <t>n/a</t>
  </si>
  <si>
    <t xml:space="preserve">Regional (mulitple farms) </t>
  </si>
  <si>
    <t>BioEnergy DevCo /Chesapeake Utilities Seaford</t>
  </si>
  <si>
    <t xml:space="preserve">Poultry </t>
  </si>
  <si>
    <t>DE</t>
  </si>
  <si>
    <t>Q2 2022</t>
  </si>
  <si>
    <t xml:space="preserve">BioEnergy DevCo, Chesapeake Utilities </t>
  </si>
  <si>
    <t xml:space="preserve">Digester BTS Biogas CSTR, upgrading membrane separation </t>
  </si>
  <si>
    <t xml:space="preserve">BDC has built 220 plants in seven countries. In the U.S., the project developer has identified potential sites for ADs in Washington, New Jersey, Minnesota, Florida and New York and is in the permitting process, or at some level of development for projects, in these regions.
June 2020, BioEnergyDevCo (BDC) has reached an agreement with Chesapeake Utilities to provide digester gas from BDC's Bioenergy Innovation Cener (formerly the Perdue Agrirecycle site (purchased by BDC in November 2019), which Chesapeake will upgrade to RNG at same site. Gas will be carried via virtual pipeline by Chesapeake subsidiaries to company's own interstate pipeline for introduction to the network.  
</t>
  </si>
  <si>
    <t>Okeechobee</t>
  </si>
  <si>
    <t>Broke ground Q4 2020.</t>
  </si>
  <si>
    <t>TBD</t>
  </si>
  <si>
    <t>Dynamic Group</t>
  </si>
  <si>
    <t>https://sevanabioenergy.com/ https://www.bioenergy-news.com/news/meridiam-sevana-bioenergy-partner-on-us-biogas-project/ https://usgasvehicles.com/en/ugi-energy-services-invests-in-renewable-natural-gas-project/
https://dailyenergyinsider.com/news/28108-ugi-energy-services-to-invest-in-energy-one-holdcos-idaho-renewable-natural-gas-project/
https://www.youtube.com/watch?v=pfM24B6FlzI</t>
  </si>
  <si>
    <t>Sevana Bioenergy, Idaho (New Energy One HoldCo LLC)</t>
  </si>
  <si>
    <t>Construction Q2 2021</t>
  </si>
  <si>
    <t>Sevana Bioenergy, Meridiam. New Energy One HoldCo LLC; UGI Energy Services LLC</t>
  </si>
  <si>
    <t xml:space="preserve">Project is refurbishment of existing digester producing electricity. </t>
  </si>
  <si>
    <t xml:space="preserve">Farm Scale </t>
  </si>
  <si>
    <t>460 SCFM of gas to electricity</t>
  </si>
  <si>
    <t xml:space="preserve">White </t>
  </si>
  <si>
    <t xml:space="preserve">Agreement with Clarke Energy for upgrading technology announced September 2021. </t>
  </si>
  <si>
    <t xml:space="preserve">Q3 2022? </t>
  </si>
  <si>
    <t>~25,000 from five farming groups in area</t>
  </si>
  <si>
    <t>500k to 600k gallons of slurry daily</t>
  </si>
  <si>
    <t xml:space="preserve">Not from RNG </t>
  </si>
  <si>
    <t xml:space="preserve">Multi-farm </t>
  </si>
  <si>
    <t xml:space="preserve">Clarke Energy upgrading </t>
  </si>
  <si>
    <t>Huntington</t>
  </si>
  <si>
    <t>Construction began Q3 2018?</t>
  </si>
  <si>
    <t>STAR BioEnergy</t>
  </si>
  <si>
    <t>2 Large dairy farms</t>
  </si>
  <si>
    <t>DVO, DMT gas upgrading &amp; Montrose operating plant</t>
  </si>
  <si>
    <t>Gevo, Inc. / Agri-Energy LLC</t>
  </si>
  <si>
    <t>3 farms, 20,000+ cows</t>
  </si>
  <si>
    <t>none</t>
  </si>
  <si>
    <t>Anaergia, Swinerton</t>
  </si>
  <si>
    <t>Cassia</t>
  </si>
  <si>
    <t>https://www.delmarvanow.com/story/news/2017/06/28/pushback-grows-westover-over-waste-to-energy-facility/431694001/
http://cleanbayrenewables.com/  
https://www.prnewswire.com/news-releases/chesapeake-utilities-corporation-partners-with-cleanbay-renewables-to-increase-sustainable-energy-in-the-delmarva-community-301089370.html  https://www.naturalgasintel.com/chesapeake-utilities-partners-with-cleanbay-renewables-in-next-move-to-bring-rng-to-customers/
https://www.environmentalleader.com/2021/08/bp-to-use-renewable-natural-gas-processed-from-poultry-litter/</t>
  </si>
  <si>
    <t xml:space="preserve">Clean Bay Renewables Westover </t>
  </si>
  <si>
    <t>Construction, 2018</t>
  </si>
  <si>
    <t>Q4 2023</t>
  </si>
  <si>
    <t xml:space="preserve">Clean Bay Renewables </t>
  </si>
  <si>
    <t>Mesophilic</t>
  </si>
  <si>
    <t>Tanks</t>
  </si>
  <si>
    <t>Project will produce renewable electricity and renewable natural gas from chicken litter. Injected into pipeline for vehicle use, generating electricity for use on site. Press release 7.7.20,  "Using a virtual pipeline concept, [Chesapeake Utilities Corp. subsidiary] Marlin Gas will transport renewable natural gas from the CleanBay facility to Eastern Shore Natural Gas, Chesapeake Utilities Corporation's interstate infrastructure pipeline, where it will be distributed to end use customers, including low-carbon, renewable vehicle fuel customers."</t>
  </si>
  <si>
    <t>Chicken litter provided by contractors, actual populations not known</t>
  </si>
  <si>
    <t>2 MW</t>
  </si>
  <si>
    <t xml:space="preserve">Chicken litter only </t>
  </si>
  <si>
    <t xml:space="preserve">AD system and biogas upgrading system by Evoqua. Project engineered and constructed by Kiewit.  Project will include proprietary Clean Bay pre-conditioning system ahead of nutrient recovery  </t>
  </si>
  <si>
    <t>Ottawa</t>
  </si>
  <si>
    <t>Construction start late 2020</t>
  </si>
  <si>
    <t>450,000 gallons/day</t>
  </si>
  <si>
    <t>DVO digester with Air Liquide membrane</t>
  </si>
  <si>
    <t>Brightmark Red Arrow</t>
  </si>
  <si>
    <t>Van Buren</t>
  </si>
  <si>
    <t>Project broke ground 6/30/2021</t>
  </si>
  <si>
    <t xml:space="preserve">Brightmark, Chevron </t>
  </si>
  <si>
    <t>200,00 gallons per day</t>
  </si>
  <si>
    <t>Brightmark SunRyz</t>
  </si>
  <si>
    <t>Lenawee</t>
  </si>
  <si>
    <t xml:space="preserve">~110,000 gallons per day </t>
  </si>
  <si>
    <t xml:space="preserve">Brightmark Meadow Rock </t>
  </si>
  <si>
    <t>Montcalm</t>
  </si>
  <si>
    <t>~102,000 gallons per day</t>
  </si>
  <si>
    <t xml:space="preserve">Project includes construction of one digester and upgrading facility. </t>
  </si>
  <si>
    <t>Kolb Bioenergy NM1 LLC</t>
  </si>
  <si>
    <t>Chaves</t>
  </si>
  <si>
    <t>NM</t>
  </si>
  <si>
    <t>General construction began 2017</t>
  </si>
  <si>
    <t>Kolb Bioenergy, Roeslien Alternative Energy</t>
  </si>
  <si>
    <t xml:space="preserve">Roeslein will manage the facility and market the gas. Plant should go into commissioning in September/October 2021. Start pushing gas in Q1 2022. Working with four area dairies, Arroyo, P7, Three Amigos and Double Aught.  </t>
  </si>
  <si>
    <t>Cayuga</t>
  </si>
  <si>
    <t xml:space="preserve">NY </t>
  </si>
  <si>
    <t xml:space="preserve">Cayuga RNG, subsidiary of UGI Energy Services and Global Common Energy. </t>
  </si>
  <si>
    <t>Cayuga RNG Allen Farms</t>
  </si>
  <si>
    <t>http://ch4biogas.com/projects/synergy-biogas/https://www.businesswire.com/news/home/20120501006420/en/New-York%E2%80%99s-Largest-On-Farm-Biogas-Power-Project||https://www.manuremanager.com/new-yorks-largest-biogas-power-project-online-11740/</t>
  </si>
  <si>
    <t xml:space="preserve">Synergy Dairy (CH4 Biogas) </t>
  </si>
  <si>
    <t>Construction to start Q3/Q4 2021.</t>
  </si>
  <si>
    <t xml:space="preserve">CH4 Biogas, Synergy Dairy </t>
  </si>
  <si>
    <t>Complete mix, CSTR</t>
  </si>
  <si>
    <t xml:space="preserve">receiving, pasteurization, CSTR AD, biogas upgrade, CHP generator, pipeline injection option </t>
  </si>
  <si>
    <t xml:space="preserve">Site digests manure form 2000+ cows as well as area food waste. Existing 1.4MW electric project will convert to production of RNG. Separate tanks for manure and food waste will allow to collect both D3 and D5 RINs.  After RNG project goes online, CHP project will use conventional natural gas. </t>
  </si>
  <si>
    <t>2000+ holstein dairy cows</t>
  </si>
  <si>
    <t xml:space="preserve">155,000 (capacity) </t>
  </si>
  <si>
    <t>1.4 MW, will continue to run on conventional natural gas</t>
  </si>
  <si>
    <t xml:space="preserve">Multifarm, regional </t>
  </si>
  <si>
    <t>McCook</t>
  </si>
  <si>
    <t xml:space="preserve">Construction to begin Fall 2021 </t>
  </si>
  <si>
    <t xml:space="preserve">Project will build two digesters and upgrading facility </t>
  </si>
  <si>
    <t>Drumgoon Dairy (Dynamic Group)</t>
  </si>
  <si>
    <t>Hamlin</t>
  </si>
  <si>
    <t>Turner</t>
  </si>
  <si>
    <t>Grant</t>
  </si>
  <si>
    <t xml:space="preserve">Align Waverly </t>
  </si>
  <si>
    <t>Sussex</t>
  </si>
  <si>
    <t>VA</t>
  </si>
  <si>
    <t xml:space="preserve">Network of 20 farms sending biogas to a central conditioning facility </t>
  </si>
  <si>
    <t xml:space="preserve">BC Organics (formerly Green Pastures Bioenergy Center) </t>
  </si>
  <si>
    <t>Not farm based, but using dairy manure as primary feedstock</t>
  </si>
  <si>
    <t xml:space="preserve">Brown </t>
  </si>
  <si>
    <t>Q3/ 2020</t>
  </si>
  <si>
    <t>Dynamic Concepts</t>
  </si>
  <si>
    <t>Combination of manure from 9 farms and roughly 20,000 cattle and food waste</t>
  </si>
  <si>
    <t xml:space="preserve">Multi farm hub and spoke </t>
  </si>
  <si>
    <t xml:space="preserve">Albert Goyenetche Dairy Biogas (Buttonwillow cluster) </t>
  </si>
  <si>
    <t>Albert Goyenetche Dairy is part of the Buttonwillow dairy biogas to fuel cluster in Kern County, CA. The dairy will install a Tier 1 designed manure only covered lagoon digester with integrated gas storage and pre-treatment. An on-dairy biogas conditioning and compressor station will remove hydrogen sulfide and moisture and then meter and move the clean biogas into a gathering line connected to the centralized biogas upgrading facility and interconnection located nearby. Biomethane, meeting SoCalGas Rule 30, will be injected into the co-located point of receipt. The project's biomethane will be delivered as R-CNG to fleets and CNG fueling stations in California. California Bioenergy is the project developer.</t>
  </si>
  <si>
    <t>Q1 2024</t>
  </si>
  <si>
    <t xml:space="preserve">Maya Dairy Biogas (Buttonwillow cluster) </t>
  </si>
  <si>
    <t xml:space="preserve">Maya Dairy is part of the Buttonwillow dairy biogas to fuel cluster in Kern County, CA. The dairy will install a Tier 1 designed manure only covered lagoon digester with integrated gas storage and pre-treatment. An on-dairy biogas conditioning and compressor station will remove hydrogen sulfide and moisture and then meter and move the clean biogas into a gathering line connected to the centralized biogas upgrading facility and interconnection located nearby. Biomethane, meeting SoCalGas Rule 30, will be injected into the co-located point of receipt. The project's biomethane will be delivered as R-CNG to fleets and CNG fueling stations in California. California Bioenergy is the project developer.
</t>
  </si>
  <si>
    <t xml:space="preserve">Skyview Dairy Biogas (Buttonwillow cluster) </t>
  </si>
  <si>
    <t>Skyview Dairy is part of the Buttonwillow dairy biogas to fuel cluster in Kern County, CA. The dairy will install a Tier 1 designed manure only covered lagoon digester with integrated gas storage and pre-treatment. An on-dairy biogas conditioning and compressor station will remove hydrogen sulfide and moisture and then meter and move the clean biogas into a gathering line connected to the centralized biogas upgrading facility and interconnection located nearby. Biomethane, meeting SoCalGas Rule 30, will be injected into the co-located point of receipt. The project's biomethane will be delivered as R-CNG to fleets and CNG fueling stations in California. California Bioenergy is the project developer.</t>
  </si>
  <si>
    <t>Southern Cross Dairy Biogas (Buttonwillow cluster)</t>
  </si>
  <si>
    <t>Southern Cross Dairy is part of the Buttonwillow dairy biogas to fuel cluster in Kern County, CA. The dairy will install a Tier 1 designed manure only covered lagoon digester with integrated gas storage and pre-treatment. An on-dairy biogas conditioning and compressor station will remove hydrogen sulfide and moisture and then meter and move the clean biogas into a gathering line connected to the centralized biogas upgrading facility and interconnection located nearby. Biomethane, meeting SoCalGas Rule 30, will be injected into the co-located point of receipt. The project's biomethane will be delivered as R-CNG to fleets and CNG fueling stations in California. California Bioenergy is the project developer.</t>
  </si>
  <si>
    <t xml:space="preserve">Whiteside Dairy Biogas (Buttonwillow cluster) </t>
  </si>
  <si>
    <t xml:space="preserve">Kern </t>
  </si>
  <si>
    <t>Whiteside Dairy is part of the Buttonwillow dairy biogas to fuel cluster in Kern County, CA. The dairy will install a Tier 1 designed manure only covered lagoon digester with integrated gas storage and pre-treatment. An on-dairy biogas conditioning and compressor station will remove hydrogen sulfide and moisture and then meter and move the clean biogas into a gathering line connected to the centralized biogas upgrading facility and interconnection located nearby. Biomethane, meeting SoCalGas Rule 30, will be injected into the co-located point of receipt. The project's biomethane will be delivered as R-CNG to fleets and CNG fueling stations in California. California Bioenergy is the project developer.</t>
  </si>
  <si>
    <t xml:space="preserve">Platte River Biogas (former Heartland facility) </t>
  </si>
  <si>
    <t>http://biomassmagazine.com/articles/18076/peoples-gas-alliance-dairies-partner-to-bring-florida-rng
https://floridapolitics.com/archives/438500-tecos-peoples-gas-alliance-dairies-form-uncommon-partnership-for-clean-energy/</t>
  </si>
  <si>
    <t xml:space="preserve">Alliance Dairies, Trenton </t>
  </si>
  <si>
    <t>Levy</t>
  </si>
  <si>
    <t xml:space="preserve">FL </t>
  </si>
  <si>
    <t xml:space="preserve">Peoples Gas </t>
  </si>
  <si>
    <t>DVO mixed plug flow; technology not determined for upgrading as of Q3 2021</t>
  </si>
  <si>
    <t xml:space="preserve">Dairy has reached an agreement with Peoples Gas for the gas utility to build, own and operate RNG facility on the dairy property. Farm already has digester, Peoples is just building the upgrading facility. Gas will most likely go to transporation markets, Peoples talking to various marketers. Will connect to interstate (FGT) pipeline systems. </t>
  </si>
  <si>
    <t xml:space="preserve">Single farm </t>
  </si>
  <si>
    <t xml:space="preserve">Just manure </t>
  </si>
  <si>
    <t>Not determined as of Q3 2021</t>
  </si>
  <si>
    <t>Kennebec</t>
  </si>
  <si>
    <t>Centralized/Regional</t>
  </si>
  <si>
    <t>Q3 2023</t>
  </si>
  <si>
    <t>Storage Stack</t>
  </si>
  <si>
    <t>Milky Way</t>
  </si>
  <si>
    <t>Milky Way Dairy, a dairy operation located in Visalia,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</si>
  <si>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De Groot North</t>
  </si>
  <si>
    <t>North Dairy, LP, a dairy operation located in Hanford, CA will build a Tier 1 designed manure only covered lagoon with enhanced gas storage, gas pre-treatment and effluent distribution. The project will include a sand lane, screens and mechanical separator with screw press for solid separation predigester. A compressor will deliver biogas via a biogas gathering line to a centralized upgrading facility where CO2, N2, O2, and further H2S removal produces biomethane meeting SoCalGas Rule 30 specifications. A gas compressor lifts the gas pressure to SoCalGas's point of receipt acceptance specification. Gas marketing, dairy processor and hauler commitments guarantee 100% delivery of the project's biomethane as R-CNG for vehicle fuel use in California. California Bioenergy, 4 Creeks Engineering, Anaergia, 4C Global and SoCalGas comprise the project team</t>
  </si>
  <si>
    <t>http://biomassmagazine.com/articles/14827/   https://www.cdfa.ca.gov/oefi/ddrdp/docs/2017_DDRDP_ProjectsAwarded.pdf https://www.cdfa.ca.gov/oefi/DDRDP/docs/DDRDP_Project_Level_Data.pdf
https://www.cdfa.ca.gov/oefi/ddrdp/docs/DDRDP_Report_January2019.pdf</t>
  </si>
  <si>
    <t>Williams Family Dairy Digester Fuel Pipeline project (Calgren)</t>
  </si>
  <si>
    <t>Calgren was awarded $1.5 million to support the $4.02 million Williams Family Dairy Digester Fuel Pipeline project in Pixley, California. The Williams Family Dairy Digester Fuel Pipeline Project is a covered lagoon anaerobic digester processing manure in Tulare County. The project is owned by Calgren, which will construct it at no cost to the dairy and will make guaranteed payments to the dairy. The project is part of the Calgren Dairy Fuels Cluster. Biogas produced at the site will be supplied via a private pipeline to fuel two 5 MW gas turbines that power the Calgren ethanol refinery. The cluster will install a renewable compressed natural gas (RCNG) station and later connect to the utility pipeline to supply more RCNG stations.</t>
  </si>
  <si>
    <t>Ontario</t>
  </si>
  <si>
    <t>https://rauch-inc.com/projects/clean-bay-renewables/ || http://www.wboc.com/story/35783645/cleanbay-biofuels-plans-to-break-ground-in-princess-anne</t>
  </si>
  <si>
    <t xml:space="preserve">Clean Bay Renewables Somerset One </t>
  </si>
  <si>
    <t xml:space="preserve">Q2 2021 </t>
  </si>
  <si>
    <t>Thermophilic complete mix?</t>
  </si>
  <si>
    <t xml:space="preserve">Project will produce renewable electricity and renewable natural gas from chicken litter </t>
  </si>
  <si>
    <t xml:space="preserve">Ductor Biotech </t>
  </si>
  <si>
    <t>https://bioenergyinternational.com/biogas/gess-breaks-ground-on-two-new-biogas-plants-in-north-carolina</t>
  </si>
  <si>
    <t xml:space="preserve">Wilson County Green Energy Biogas Park </t>
  </si>
  <si>
    <t>Swine manure and green biomass</t>
  </si>
  <si>
    <t xml:space="preserve">Wilson </t>
  </si>
  <si>
    <t>Q1 2019?</t>
  </si>
  <si>
    <t>Q3 2020?</t>
  </si>
  <si>
    <t xml:space="preserve">Green Energy Sustainable Solutions (GESS); Biogest? </t>
  </si>
  <si>
    <t xml:space="preserve">Controlled plug flow? </t>
  </si>
  <si>
    <t>Manure lagoons</t>
  </si>
  <si>
    <t>Processing combination of manure from area swine farms and green biomass into renewable natural gas</t>
  </si>
  <si>
    <t>160,000 tons of swine manure, 80,000 tones green biomass</t>
  </si>
  <si>
    <t xml:space="preserve">Biogest? </t>
  </si>
  <si>
    <t>http://dairystar.com/main.asp?SectionID=1&amp;SubSectionID=1&amp;ArticleID=8015 https://www.shamrockfarms.net/about-us/sustainability/</t>
  </si>
  <si>
    <t>Shamrock Farms</t>
  </si>
  <si>
    <t>Looking into possibility of getting a digester</t>
  </si>
  <si>
    <t>http://www.mbbnet.umn.edu/company_folder/bisonenergy.html 
http://www.startribune.com/taking-a-giant-green-gamble-on-biogas/236784221/ 
http://www.nwestiowa.com/news/creditors-place-former-bison-renewable-facility-in-chapter-bankruptcy/article_6faefe80-6a24-11e1-93be-001a4bcf6878.html
https://www.nwestiowa.com/news/million-biofuels-plant-coming-to-hull/article_532ad028-36cc-11e9-8206-6fa00b80fbc5.html</t>
  </si>
  <si>
    <t>Bison Renewable Energy</t>
  </si>
  <si>
    <t>Swine and Cattle</t>
  </si>
  <si>
    <t xml:space="preserve"> Sioux</t>
  </si>
  <si>
    <t>Bison Renewable Energy, LLC</t>
  </si>
  <si>
    <t>Created high BTU RNG injected into the pipeline infrastructure</t>
  </si>
  <si>
    <t>Intrepid Technology and Resources Inc.</t>
  </si>
  <si>
    <t>https://411.info/business/West-Point-Farm-Wendell-ID-11329171</t>
  </si>
  <si>
    <t>Westpoint Farms</t>
  </si>
  <si>
    <t>Induced Blanket Reactor</t>
  </si>
  <si>
    <t>http://www.capitalpress.com/SpecialSections/Dairy/20140609/dairy-farm-grows-with-the-family</t>
  </si>
  <si>
    <t>Whitesides Dairy</t>
  </si>
  <si>
    <t>Minidoka</t>
  </si>
  <si>
    <t>https://www.capitalpress.com/ag_sectors/dairy/biogas-project-planned-on-six-idaho-dairies/article_a8d52aa0-86f9-11e9-8cae-4754ed364e9c.html</t>
  </si>
  <si>
    <t>GESS International, Idaho</t>
  </si>
  <si>
    <t xml:space="preserve">GESS International </t>
  </si>
  <si>
    <t>http://www.jonesfamilyfarm.org/  http://biomassmagazine.com/articles/6335/md-biogas-project-will-digest-manure-food-waste</t>
  </si>
  <si>
    <t>Jones Family Farm</t>
  </si>
  <si>
    <t>Kent</t>
  </si>
  <si>
    <t>Homeland Biogas Energy</t>
  </si>
  <si>
    <t>Will convert dairy manure and local food waste substrates into CNG to fuel local transport trucks</t>
  </si>
  <si>
    <t>900kW</t>
  </si>
  <si>
    <t>Multiple Farm</t>
  </si>
  <si>
    <t>Processing water, food processing waste</t>
  </si>
  <si>
    <t xml:space="preserve">Biogas Direct, LLC, Organic Waste Systems (OWS), Inc., Phase 3 Developments &amp; Investments, LLC, Specialty Concrete </t>
  </si>
  <si>
    <t>Operational - according to EPA 2016 update   http://www.mlive.com/business/west-michigan/index.ssf/2016/04/michigan_dairy_farm_produces_m.html http://scenicviewdairy.com/   https://www.epa.gov/sites/production/files/2014-12/documents/scenic_view_agstar_site_profile_508_022614.pdf   http://scenicviewdairy.com/anaerobic-digestion/</t>
  </si>
  <si>
    <t>Scenic View Dairy</t>
  </si>
  <si>
    <t>Dairy and Swine</t>
  </si>
  <si>
    <t>Allegan</t>
  </si>
  <si>
    <t>XEBEC Inc.; Phase 3 Developments &amp; Investments, LLC; Biogas Direct, LLC (Biogas-Nord)</t>
  </si>
  <si>
    <t xml:space="preserve">Generates enough electricity through AD of dairy, heifer, and swine manure, as well as FOG, to completely meet the farm's electricity needs; extra electricity sold to a local electric utility; remaining biogas upgraded to RNG and distributed to 2,000 Michigan Gas Utilities customers. 22 day residence time </t>
  </si>
  <si>
    <t>Dairy: 3,800
Swine: 9,000</t>
  </si>
  <si>
    <t>730,000 kWh</t>
  </si>
  <si>
    <t>71917 (based on 3171 short tons methane)</t>
  </si>
  <si>
    <t>Environmental Fabrics, Inc., RCM International LLC</t>
  </si>
  <si>
    <t>http://biomassmagazine.com/articles/10787/construction-underway-on-missouri-anaerobic-digestion-project  http://www.prnewswire.com/news-releases/construction-underway-on-innovative-project-creating-energy-from-hog-manure-270763751.html   http://www.murphybrownllc.com/environment/enviromental-management/   http://biomassmagazine.com/articles/14873/rng-coalition-celebrates-new-projects-launches-video || 2020 http://www.biomassmagazine.com/plants/view/6634 || https://www.globalmeatnews.com/Article/2020/02/24/Smithfield-Foods-increases-investment-in-renewable-energy-scheme || https://issuu.com/dmsgroup/docs/07-24-2016.pdf/82</t>
  </si>
  <si>
    <t>Roeslein Alternative Energy - Hedgewood</t>
  </si>
  <si>
    <t xml:space="preserve">Union County Green Energy Biogas Park </t>
  </si>
  <si>
    <t>Union County planning thinks construction will start spring 2021</t>
  </si>
  <si>
    <t>Q4 2021?</t>
  </si>
  <si>
    <t>https://www.epa.gov/sites/production/files/2016-07/documents/danny_kluthe_-_rev_7-18-16.pdf   http://www.nebraskansforsolar.org/tag/olean-energy/   http://www.nationalhogfarmer.com/environmental-stewardship-winners-2013/manure-digester-means-nebraska-farm-powered-pigs</t>
  </si>
  <si>
    <t>Danny Kluthe Farm/O’Lean Energy</t>
  </si>
  <si>
    <t>Dodge</t>
  </si>
  <si>
    <t>Colfax</t>
  </si>
  <si>
    <t>Environmental Fabrics, Inc.; RCM International LLC</t>
  </si>
  <si>
    <t>Storage lagoon</t>
  </si>
  <si>
    <t>Methane is removed and used to generate electricity that’s sold to the Cuming County Public Power District and put on the electrical grid. Farm vehicles run on a methane blend harvested from the anaerobic digester and diesel. The methane is converted to compressed natural gas (CNG) in order to be mixed with diesel through a tank onboard each converted tractor and truck. The tractors are fueled by a 90% methane/10% diesel blend.</t>
  </si>
  <si>
    <t>633kW</t>
  </si>
  <si>
    <t>Animal manure, food wastes, FOG</t>
  </si>
  <si>
    <t xml:space="preserve">Blue Electron (digester), American Biogas Conditioning (removal of H2S and siloxanes) </t>
  </si>
  <si>
    <t>https://www.nyserda.ny.gov/About/Newsroom/2017-Announcements/2017-05-15-NYSERDA-Announces-Cayuga-County-Earns-Clean-Energy-Community-Designation  http://auburnpub.com/news/local/cayuga-county-designated-state-clean-energy-community/article_ef7491c9-4b3f-5584-a3aa-ab9792a0135f.html   http://www.cayugaswcd.org/digester.html</t>
  </si>
  <si>
    <t>Cayuga County Regional Digester and Bio-Energy Enterprise</t>
  </si>
  <si>
    <t>Cayuga County Soil and Water Conservation District</t>
  </si>
  <si>
    <t>Pressure differential mix</t>
  </si>
  <si>
    <t>About 20,000 gallons of manure form local farms and 10,000 gallons of food wastes form area processores shipped in daily. Currently produces 633kW of electricity from single generator. Electricity is used by nearby county/municipal buildings.</t>
  </si>
  <si>
    <t>44000 (based on 30k gallons a day)</t>
  </si>
  <si>
    <t>5256 MWh/year</t>
  </si>
  <si>
    <t xml:space="preserve">3,114 (methane) </t>
  </si>
  <si>
    <t>Food wastes, grass, crop waste</t>
  </si>
  <si>
    <t>OSU - OARDC, quasar energy group</t>
  </si>
  <si>
    <t>https://www.bioohio.com/item/quasar-energy-group-llc-buckeye-biogas/</t>
  </si>
  <si>
    <t>Buckeye Biogas (Quasar)</t>
  </si>
  <si>
    <t>quasar energy group; The Ohio State University's Ohio Agricultural Research and Development Center; Ohio BioProducts Innovation Center</t>
  </si>
  <si>
    <t>Processes regional food and crop waste, grass and manure from OSU/OARDC farm operations; flagship ecoFARMsystem 550 (F550) intended for use at smaller farm facilities. Gas produced for vehicle fuel, pipeline and electricty</t>
  </si>
  <si>
    <t>8600 MW/year</t>
  </si>
  <si>
    <t>2467.84326536335 7562(methane)</t>
  </si>
  <si>
    <t>Mixed biomass</t>
  </si>
  <si>
    <t>quasar energy group</t>
  </si>
  <si>
    <t>https://www.bioohio.com/item/quasar-energy-group-llc-haviland-energy/   http://brownfieldagnews.com/news/ohio-receives-funding-for-5-biodigester-projects/   http://www.greenenergyohio.org/page.cfm?pageID=2949</t>
  </si>
  <si>
    <t>Haviland Energy</t>
  </si>
  <si>
    <t>Paulding</t>
  </si>
  <si>
    <t>Processes biosolids, regional food waste, FOG, and manure to generate electricity and CNG; energy then sold to Haviland Plastic Products plant; on-site CNG fueling station</t>
  </si>
  <si>
    <t>7600 MWh/year</t>
  </si>
  <si>
    <t>Food waste, Biosolids</t>
  </si>
  <si>
    <t>https://www.bioohio.com/item/dovetail-energy/
https://renergy.com/ 
http://biomassmagazine.com/plants/view/6448</t>
  </si>
  <si>
    <t xml:space="preserve">Renergy Dovetail </t>
  </si>
  <si>
    <t>Greene</t>
  </si>
  <si>
    <t xml:space="preserve">Renergy? </t>
  </si>
  <si>
    <t>Uses waste from swine farm with liquid and solid organics, food processing waste, fats, oils, greases, and biosolids to generate  electricity.</t>
  </si>
  <si>
    <t>7000 MWh/year</t>
  </si>
  <si>
    <t>2155.45359007946  (6903 methane)</t>
  </si>
  <si>
    <t>Food Wastes, Biosolids</t>
  </si>
  <si>
    <t>http://www.greenenergyohio.org/page.cfm?pageID=2949   http://farmenergy.org/success-stories/anerobic-digesters/ringler-energy-llc   https://www.bioohio.com/item/quasar-energy-group-llc-ringler-energy/    https://www.farmanddairy.com/news/smell-success-ringler-energy-opens-new-digester-morrow-county-swine-farm/156783.html</t>
  </si>
  <si>
    <t>Renergy Emerald</t>
  </si>
  <si>
    <t>Renergy</t>
  </si>
  <si>
    <t>Uses waste from swine farm with liquid and solid organics, food processing waste, fats, oils, greases, and biosolids to generate renerwable electricity</t>
  </si>
  <si>
    <t>Grease and other restaurant waste</t>
  </si>
  <si>
    <t>EM Biogas, Microgy</t>
  </si>
  <si>
    <t>2014 epa report https://www.epa.gov/sites/production/files/2014-12/documents/huckabay_ridge_agstar_site_profile_508_022614.pdf  
https://www.manuremanager.com/dairy/huckabay-ridge-10271   
http://biomassmagazine.com/articles/9648/texas-ad-facility-to-be-sold-at-auction 
http://www.verliantenergy.com/projects.html 
http://www.hoovers.com/company-information/cs/company-profile.verliant_energy_inc.03b2251c5c9a75a8.html 
https://www.businesswire.com/news/home/20140228005808/en/UC-San-Francisco-Collaborates-Verliant-Advance-Waste</t>
  </si>
  <si>
    <t xml:space="preserve">Huckabay Ridge (Verliant Energy) </t>
  </si>
  <si>
    <t>Erath</t>
  </si>
  <si>
    <t>Original developer/owner: Micrology (Environmental Power Corp.)
Current developer/owner: EM Biogas (Element Markets, LLC)</t>
  </si>
  <si>
    <t>Creates RNG from 8 digesters, which is then injected into the infrastructure and sold to the Lower Colorado River Authority and PG&amp;E in California; uses manure delivered by regional farms, with codigestion of grease and other restaurant waste</t>
  </si>
  <si>
    <t xml:space="preserve">KEY: </t>
  </si>
  <si>
    <t xml:space="preserve">Information provided  or confirmed by contact </t>
  </si>
  <si>
    <t>WWT Facility</t>
  </si>
  <si>
    <t xml:space="preserve">Maximum Capacity of Waste </t>
  </si>
  <si>
    <t xml:space="preserve">Average Amount of Waste </t>
  </si>
  <si>
    <t>SCFD to project</t>
  </si>
  <si>
    <t>SCFD Upgraded Biogas</t>
  </si>
  <si>
    <t xml:space="preserve"> Upgraded GGE/yr</t>
  </si>
  <si>
    <t xml:space="preserve">CO2 Emissions Eliminated </t>
  </si>
  <si>
    <t>http://www.reclaimedwater.net/data/files/149.pdf 
http://www.ameresco.com/ameresco-city-phoenix-announce-91-st-ave-wastewater-treatment-plant-biogas-project/
https://www.ngvglobal.com/blog/phoenix-wastewater-to-rng-fuel-facility-biggest-in-u-s-0817
https://www.ameresco.com/ameresco-declares-commercial-operations-of-historic-rng-plant/</t>
  </si>
  <si>
    <t>91st Avenue, Phoenix</t>
  </si>
  <si>
    <t>Pipeline injection to begin Q1 2019.</t>
  </si>
  <si>
    <t>Project uses Guild pressure swing adsorption (PSA) upgrading system</t>
  </si>
  <si>
    <t>230 MGD</t>
  </si>
  <si>
    <t>45000 tons</t>
  </si>
  <si>
    <t>https://webcms.pima.gov/UserFiles/Servers/Server_6/File/Government/Wastewater%20Reclamation/ROMP/TresRios.pdf
https://tucson.com/business/poo-power-renewable-gas-projects-sprout-at-arizona-sewer-plant-dairies/article_56bb567a-b1c9-11eb-98f6-7b59dad30212.html
http://azbex.com/pima-county-hopes-to-sell-wastewater-gas/
https://tucson.com/news/local/pima-county-hopes-third-time-s-a-charm-turning-wastewater/article_3f46f370-8c79-5d33-a8ed-9b0df9d72bd3.html || 2020 https://cdn.ymaws.com/www.azwater.org/resource/group/358e99b3-e8ca-4cc5-b4c8-78ea8bac5cb6/events/2020_biosolids_workshop/presentations/Session_8-_TRWRF_1300-1315_T.pdf
http://biomassmagazine.com/articles/18094/southwest-gas-to-source-rng-from-5-projects</t>
  </si>
  <si>
    <t>Tres Rios Wastewater Reclamation Facility</t>
  </si>
  <si>
    <t>Pima</t>
  </si>
  <si>
    <t xml:space="preserve">Construction began April 2020. Significant delays in equipment delivery due to coronavirus. </t>
  </si>
  <si>
    <t xml:space="preserve">Pima County </t>
  </si>
  <si>
    <t xml:space="preserve">The East Digesters (four units at 1.33 Mgal, each) operate in parallel with the West Digesters (two units at 1.8 Mgal, each). Sludge feed and discharge from all six digesters is based on time and distribution among the six digesters. All six digesters are operated as mesophilic, high rate anaerobic digesters. The West Digesters have been designed and constructed to operate at higher temperatures (&gt;50ºC or 122ºF) for possible future conversion to thermophilic anaerobic digestion as part of a Class A biosolids program. A linear motion mixer mixes the sludge within each digester to maintain a consistent solids concentration and temperature profile throughout the tank. Each digester is served by a dedicated mixer, located on the cover. Fuel is destined for California market, though it sounds as if local use is possible in future. </t>
  </si>
  <si>
    <t>50 MGD</t>
  </si>
  <si>
    <t>30 mgd</t>
  </si>
  <si>
    <t>http://www.cityofsanmateo.org/DocumentCenter/Home/View/85  
http://www.smdailyjournal.com/articles/lnews/2015-12-11/san-mateo-to-convert-its-waste-into-fuel-city-first-to-turn-biogas-into-compressed-natural-gas-at-wastewater-plant/1776425155030.html</t>
  </si>
  <si>
    <t>City of San Mateo Wastewater Treatment Plant</t>
  </si>
  <si>
    <t>San Mateo</t>
  </si>
  <si>
    <t>System designed by engineering consulting firm Kennedy-Jenks. Cleaning equipment produced by UNISON,  compression and delivery system by ANGI.</t>
  </si>
  <si>
    <t>60 million gallons/day</t>
  </si>
  <si>
    <t>15.7 million gallons/day</t>
  </si>
  <si>
    <t xml:space="preserve">Will potentially be providing heat and hot water to new admin building to be constructed at site. No plans for pipeline njection in immediate future. May sell spare capacity to other CNG fleets. GGE/year output figure based on total of 19 trucks by end 2017, consumption of 250-400 GGE per week. Future plans for co-digestion, but this has not yet taken shape.   </t>
  </si>
  <si>
    <t>http://cityofpetaluma.net/wrcd/wastewater.html http://dpw.lacounty.gov/epd/nas/epd/epd_dms/C_T___%60JAJONES%60Programs%60PUB_Y%60FREQ_N%603_22_2016%60%60REC_N%600000_00%600000_00%60CT_GEN%60California%20Energy%20Commission%20Invests%20$3%20Million%20in%20Biogas%20Project%6097.pdf   http://www.water-technology.net/projects/ellis-creek/
https://cityofpetaluma.org/water-recycling/</t>
  </si>
  <si>
    <t>Ellis Creek Water Recycling Facility</t>
  </si>
  <si>
    <t>City of Petaluma</t>
  </si>
  <si>
    <t xml:space="preserve">4,800,000 gallons/day </t>
  </si>
  <si>
    <t>Private</t>
  </si>
  <si>
    <t xml:space="preserve">http://www.lgvsd.org/facilities/wastewater-treatment/    http://www.waterboards.ca.gov/sanfranciscobay/board_info/agendas/2015/May/Las_Gallinas_TO.pdf     http://www.cornerstoneeg.com/project-experience/las-gallinas-biogas-energy-recovery-system/   http://www.lgvsd.org/wp-content/uploads/agenda04242014handout4.pdf
</t>
  </si>
  <si>
    <t>Las Gallinas Valley Sanitary District</t>
  </si>
  <si>
    <t>Marin</t>
  </si>
  <si>
    <t>Pre-commercial BERS installed to capture methane from the plant which is then used for on-site combined heat and power. A BioCNG gas conditioning system is used as well to provide CNG to a fueling station at the plant providing fuel for one LGVSD CNG truck.</t>
  </si>
  <si>
    <t>8 million gal/day</t>
  </si>
  <si>
    <t>2.67 million gal/day</t>
  </si>
  <si>
    <t>Providing fuel for LGVSD CNG trucks</t>
  </si>
  <si>
    <t>Los Angeles County Sanitation Districts Joint Water Pollution Control Plant</t>
  </si>
  <si>
    <t>Online September 2020</t>
  </si>
  <si>
    <t xml:space="preserve">LA County Sanitation Districts and contractor to be identified by RFP </t>
  </si>
  <si>
    <t xml:space="preserve">Using food wastes co-digestant with wastewater to produce upgraded gas for vehicle fuel. Food waste has historically come from multiple sources, both private and municipal, but due to pandemic has fallen off by 30-40%.  Looking also at private haulers, one idea being to have them bring it to Puente Hills MRF for slurrying, then transferred to WWRF. Has direct connection to public CNG fueling station that they are looking to expand by roughly 2023. </t>
  </si>
  <si>
    <t>400 MGD</t>
  </si>
  <si>
    <t>260 MGD</t>
  </si>
  <si>
    <t>20 MW</t>
  </si>
  <si>
    <t>https://www.socalgas.com/smart-energy/success-stories/point-loma
http://www.biofuelsenergyllc.com/projects.html</t>
  </si>
  <si>
    <t>Point Loma Wastewater Treatment Plant</t>
  </si>
  <si>
    <t>Fuel Cell Energy, Inc.; BioFuels Energy, LLC</t>
  </si>
  <si>
    <t xml:space="preserve">Untreated biogas powers generators at plant, and some upgraded gas  goes to fuel cell at plant. Upgraded gas also goes into pipeline to feed electricity generating fuel cells at  at UCSD and South Bay Water Treament at South Bay Water Reclamation plant. </t>
  </si>
  <si>
    <t>240 million gal/day</t>
  </si>
  <si>
    <t>175 million gal/day</t>
  </si>
  <si>
    <t xml:space="preserve">1.22.19, conversation with Frank Mazanec at Biofuels EnergyLLC-- has suggested codigestion to the City, they are not interested, think it might adversely affect operation of digesters. </t>
  </si>
  <si>
    <t>5.8 MW Based on SoCal Gas case study, more like 4.2MW</t>
  </si>
  <si>
    <t>https://www.longmontcolorado.gov/Home/Components/News/News/4229/3?backlist=%2F  
http://www.timescall.com/longmont-local-news/ci_31529520/   
https://www.denverpost.com/2017/12/18/longmont-sewage-biofuels/   
https://www.longmontcolorado.gov/departments/departments-n-z/water/wastewater-treatment
http://www.timescall.com/longmont-local-news/ci_32400208/construction-begins-longmont-facility-project-convert-sewage-treatment
https://patch.com/colorado/boulder/longmonts-newest-sustainable-fuel-sewage-gas
http://www.biomassmagazine.com/articles/15902/cgrs-begins-construction-on-colorado-rng-project 
https://www.timescall.com/2020/05/18/longmont-completes-work-on-biogas-conversion-project/
https://www.cgrs.com/start-up-of-longmonts-renewable-natural-gas-project-a-success/</t>
  </si>
  <si>
    <t>Longmont Wastewater Treatment Plant</t>
  </si>
  <si>
    <t>Boulder</t>
  </si>
  <si>
    <t xml:space="preserve">City of Longmont; Carollo Engineers; CGRS Inc. </t>
  </si>
  <si>
    <t>In 2018, the City of Longmont will begin construction of a project at its Waste Water Treatment Plant (WWTP) to make fuel from gas produced in the treatment of Longmont's sewage. The project will convert dirty biogas (generated through anaerobic digestion) into clean Renewable Natural Gas (RNG). The RNG produced will then be used to power the City’s trash trucks. Upon completion of the RNG fueling station in 2019, 11 of the City’s 16 diesel trash trucks will be replaced with trucks capable of using RNG fuel (this change-out aligns with the existing replacement schedule for those trucks). The remaining five diesel trucks will be replaced in 2021. </t>
  </si>
  <si>
    <t>13 million GPD</t>
  </si>
  <si>
    <t>7 MGD</t>
  </si>
  <si>
    <t>Yes, municipal vehicles only (?)</t>
  </si>
  <si>
    <t>Colorado Department of Local Affairs awarded the City a $1,000,000 grant to offset a portion of the capital costs required. The Colorado Regional Air Quality Council awarded the City with a grant for $35,000 per truck ($385,000 total) to cover 80% of the difference in cost between an RNG truck and a diesel truck.</t>
  </si>
  <si>
    <t xml:space="preserve">1000 metric tonnes annually </t>
  </si>
  <si>
    <t>http://www.gjcity.org/residents/persigo-wastewater-treatment-plant/   http://energy-vision.org/wp-content/uploads/2013/09/Grand-Junction_Persigo_BioCNG-Profile.pdf</t>
  </si>
  <si>
    <t>Persigo Wastewater Treatment Plant</t>
  </si>
  <si>
    <t>Mesa</t>
  </si>
  <si>
    <t xml:space="preserve">Biogas is carried via an 5.7 mile underground pipeline to the City’s Municipal Services Campus where it will be compressed to CNG and used to fuel the City’s fleet of CNG vehicles and County CNG Grand Valley Transit busses.  This station has one public fast-fill pump, and about 20 slow fill for the fleet vehicles. CNG vehicles consist of passenger cars, pickup trucks, dump trucks, trash trucks, public transportation busses and Street sweepers.
The City of Grand Junction has 42 CNG municipal fleet vehicles. Public transportation has 20 CNG vehicles. Totaling around 82 CNG vehicles
</t>
  </si>
  <si>
    <t>12.5 million gal/day</t>
  </si>
  <si>
    <t>8.5 MGD</t>
  </si>
  <si>
    <t>1500 tons</t>
  </si>
  <si>
    <t>https://bouldercolorado.gov/newsroom/city-of-boulder-partners-with-tetra-tech-and-cgrs-for-biogas-use-enhancement-project?MvBriefArticleId=7046</t>
  </si>
  <si>
    <t>City of Boulder WRRF</t>
  </si>
  <si>
    <t xml:space="preserve">CO </t>
  </si>
  <si>
    <t>TetraTech, CGRS</t>
  </si>
  <si>
    <t xml:space="preserve">Existing cogeneraton system has reached end of life, city is intalling upgrading capability. BioCNG gas conditioning system. RNG will go to fuel ~31 local waste collection vehicles owned by Western Disposal.  </t>
  </si>
  <si>
    <t>25 MGD</t>
  </si>
  <si>
    <t>13MGD</t>
  </si>
  <si>
    <t>https://englewoodherald.net/stories/englewood-council-oks-biogas-plan-littleton,268723?</t>
  </si>
  <si>
    <t>South Platte Water Renewal Partners</t>
  </si>
  <si>
    <t>Arapahoe</t>
  </si>
  <si>
    <t>Sept. 2018</t>
  </si>
  <si>
    <t xml:space="preserve">Commissioned 2019. Total of five digesters which they alternate. Unison Technologies gas upgrading system. Says XL has stringent injection standards.   </t>
  </si>
  <si>
    <t>50MGD</t>
  </si>
  <si>
    <t>20MGD</t>
  </si>
  <si>
    <t>http://biomassmagazine.com/articles/14679/hawaii-gas-earns-puc-approval-to-make-rng-from-honouliuli-biogas   
https://www.honolulu.gov/rep/site/env/wwm_docs/Honouliuli_WWTP_Handout_Combined_5_27_16.pdf
https://www.bizjournals.com/pacific/news/2018/04/23/hawaii-gas-to-start-construction-on-first.html
http://oeqc2.doh.hawaii.gov/EA_EIS_Library/2018-01-23-OA-DEA-Honouliuli-WWTP-Biogas-Project.pdf</t>
  </si>
  <si>
    <t xml:space="preserve">Honouliuli Wastewater Treatment Plant </t>
  </si>
  <si>
    <t>Honolulu</t>
  </si>
  <si>
    <t>Q4 2016</t>
  </si>
  <si>
    <t>Hawaii Gas</t>
  </si>
  <si>
    <t>Hawaii Gas, the state’s only regulated gas utility, received approval from the Hawai‘i Public Utilities Commission to install equipment to capture and process biogas from the Honouliuli Wastewater Treatment Plant. The Honouliuli Wastewater Treatment Plant produces about 800,000 therms of energy per year, which is currently not being utilized. Hawaii Gas will invest about $5 million in the infrastructure to process the raw biogas and to connect the Honouliuli Wastewater Treatment Plant to the company’s existing pipeline.
SCFD figure based on Draft Environemntal Assessment, which references 800k therms (80k MMBTU) of raw gas annually. Based onsame report, upgrading is activated carbon followed by DMT membran separation</t>
  </si>
  <si>
    <t>26.1 MGD (2013)</t>
  </si>
  <si>
    <t xml:space="preserve">No codigestion at this point. City looking at adding glycerin from nearby biodiesel plant, still "at conversation stage".  </t>
  </si>
  <si>
    <t>http://bioresourcedevelopment.com/  http://www.greaterdubuque.org/gddc/who-we-are/news/?item=7853  http://www.greaterdubuque.org/media/userfiles/subsite_88/files/2016_09_September_Newsletter_FNL(1).pdf  http://ecoengineers.us/wp-content/uploads/2014/09/Kim-Murdock-Timmerman.pdf  http://www.unisonsolutions.com/projects/digester-projects/</t>
  </si>
  <si>
    <t>Dubuque Water and Resource Recovery Center</t>
  </si>
  <si>
    <t>City of Dubuque, Black Hills Energy, Unison Solution, BioResources Development</t>
  </si>
  <si>
    <t xml:space="preserve">Bioresource Development installed upgrading skid based on PSA technology. They upgrade the gas, inject it into Black Hills Energy pipeline, and return as much upgraded gas to facility as was taken out. Anything surplus is sold into a RIN market. </t>
  </si>
  <si>
    <t>14MGD</t>
  </si>
  <si>
    <t>7MGD</t>
  </si>
  <si>
    <t xml:space="preserve">Collect some FOG waste through special FOG program. Private carters collect from local restaurants and food processors, bring to WRR facility.  </t>
  </si>
  <si>
    <t>600kW</t>
  </si>
  <si>
    <t>https://siouxcityjournal.com/news/local/govt-and-politics/sioux-city-leaders-natural-gas-project-to-make-wastewater-plant/article_b706d4ab-fa49-5b97-98b2-1d8715d6406e.html
http://www.rngcoalition.com/news/2017/2/13/sioux-city-wwtp-to-upgrade-biogas-to-renewable-natural-gas http://www.biomassmagazine.com/articles/17640/dmt-clear-gas-solutions-iowa-rng-plant-begins-operations
https://www.sioux-city.org/government/departments-q-to-z/waste-water-treatment/renewable-fuels-project
https://www.bartlettwest.com/services/project/sioux-city-biogas-master-plan
https://siouxcityjournal.com/news/local/govt-and-politics/sioux-city-council-to-vote-on-biogas-transaction-confirmation/article_131f5191-1a22-57d8-bf49-84e680c1694a.html</t>
  </si>
  <si>
    <t>Sioux City WWTP</t>
  </si>
  <si>
    <t>Woodbury/Plymouth</t>
  </si>
  <si>
    <t>January 2021</t>
  </si>
  <si>
    <t xml:space="preserve">City of Sioux City; DMT Clear Gas Solution </t>
  </si>
  <si>
    <t xml:space="preserve">Sioux City WRRF has total of 8 digesters. One of these has been set aside for processing other wastes that would generate D5 RINs. Anticipate possible doubling of output by adding waste from elsewhere, are being very cautious about trying to identify D3 waste. 8.23.20 article in Sioux City Journal, facility seeking City Council approval for agreement with The Energy Authority of Jacksonville, FL to find offtakers and monetize gas. Biomass Magazine January 2021, system uses DMT SulfurexCR cehmical system to remove sulfur and DMT CarborxMS membrane system </t>
  </si>
  <si>
    <t>23 MGD</t>
  </si>
  <si>
    <t>17.6 MGD</t>
  </si>
  <si>
    <t>https://www.dodgeglobe.com/news/20180412/mission-complete-warrior-project-biogas-facility-is-ready
https://www.hpj.com/ag_news/commitment-to-re-use-municipal-waste-boosts-renewable-energy-sector/article_61a688a0-0ba4-553f-819e-571542b8b667.html
http://www.ucict.com/images/uploads/project-pdfs/Project_Highlight_-_DodgeCityBiogas.pdf
http://www.americanbiogascouncil.org/pdf/Warrior%20Project%20Profile-Final.pdf</t>
  </si>
  <si>
    <t>Warrior Biogas Reuse Project</t>
  </si>
  <si>
    <t>Ford</t>
  </si>
  <si>
    <t xml:space="preserve">KS </t>
  </si>
  <si>
    <t>Dodge City, Guild Associates (equipment), Jacob Engineering (operation)</t>
  </si>
  <si>
    <t>Uses municipal wastewater from Dodge City and and industrial wastewater from National Beef plant. Two separate anaerobic lagoons</t>
  </si>
  <si>
    <t>5.77 MGD</t>
  </si>
  <si>
    <t>5.5 MGD</t>
  </si>
  <si>
    <t xml:space="preserve">1,600,000 average </t>
  </si>
  <si>
    <t>2,130,000 capacity</t>
  </si>
  <si>
    <t>https://www.experiencegr.com/meetings-blog/post/waste-not-how-grand-rapids-approaches-sustainability/
https://www.grandrapidsmi.gov/Government/Departments/Environmental-Services/Wastewater-Treatment
https://www.grandrapidsmi.gov/files/assets/public/departments/environmental-services/files/biosolids/bmp-manual/introduction-and-process-description.pdf</t>
  </si>
  <si>
    <t>City of Grand Rapids</t>
  </si>
  <si>
    <t xml:space="preserve">Project is part of general plant upgrade. No digesters at facility at this time, building 3, phosphorous recovery system and upgrading facility. 2021 update: first digester has gone into commissioning as of July 2021, as soon as the bugs are out of that system they will commission the second. These two digesters will handle waste waster sludge only. The third digester, once commissioned later this year, will handle waste and wastewater from an area brewery as well as landfill leachate. Also potential for taking other industrial wastewater. They are referring to this third digester as "the concentrated waste tank". All three digesters will be metered to allow them to track D3 vs. D5 RINs, though all gas will go throught the same upgrading skid. All gas will go to DTE.  The concentrated waste tank is a first of its kind system in the US, includes a membrane system that will allow them to pull permeate and other solids back into the digester while letting clean water escape. All three digesters should be operating by end of 2021. </t>
  </si>
  <si>
    <t>61.1MGD</t>
  </si>
  <si>
    <t>35MGD</t>
  </si>
  <si>
    <t>Not with biogas or RNG</t>
  </si>
  <si>
    <t xml:space="preserve">https://www.fremontne.gov/23/Utilities  https://www.dmt-cgs.com/products/biogas-upgrading/  </t>
  </si>
  <si>
    <t>Fremont WWTP</t>
  </si>
  <si>
    <t>Construction 2018; construction complete Q3 2021</t>
  </si>
  <si>
    <t>City of Fremont, DMT Clean Gas Solutions</t>
  </si>
  <si>
    <t xml:space="preserve">Upgrading is part of general facility expansion. Have one digester, are installing second digester, and building 3 anaerobic lagoons. Domestic wastewater will go to digesters, industrial wastewater which includes food waste will go to the lagoons, allowing them to separate the D3 and D5 RINs. DMT Clear Gas Solution system will upgrade methane. Some gas will go to boiler at the plant, will sell remainder into pipeline. As of July 2021, are working with Blue Source to sell gas into tranportation market.  As of July 2021, project in commissioning, plant manager expects to go live in August. </t>
  </si>
  <si>
    <t>10.5MGD</t>
  </si>
  <si>
    <t xml:space="preserve">6.5MGD </t>
  </si>
  <si>
    <t>Lincoln, Nebraska Theresa Street WWTP</t>
  </si>
  <si>
    <t>Lincoln</t>
  </si>
  <si>
    <t xml:space="preserve">Online February 2021. </t>
  </si>
  <si>
    <t xml:space="preserve">City of Lincoln </t>
  </si>
  <si>
    <t>28MGD</t>
  </si>
  <si>
    <t xml:space="preserve">Anticipate production starting at 100,000 MMBTu a year, ramping up 2% a year with population increase </t>
  </si>
  <si>
    <t>https://www.epa.gov/sites/production/files/2017-10/documents/chahbazpour_rng_2017_panel1.pdf
https://www.aecom.com/press-releases/aecom-announced-today-that-it-has-been-awarded-a-design-build-contract-from-national-grid-in-partnership-with-the-new-york-city-department-of-environmental-protection-to-provide-engineering-procure/
https://nypost.com/2019/04/29/new-yorkers-poop-will-soon-be-used-to-fuel-their-own-homes/?utm_source=twitter_sitebuttons&amp;utm_medium=site%20buttons&amp;utm_campaign=site%20buttons https://www.politico.com/news/magazine/2019/11/21/food-waste-fuel-energy-sustainability-070265https://blogs.scientificamerican.com/observations/what-china-can-learn-from-new-york-city-about-wastewater-management/</t>
  </si>
  <si>
    <t>Newtown Creek Wastewater Treatment Plant</t>
  </si>
  <si>
    <t>Kings County</t>
  </si>
  <si>
    <t xml:space="preserve">Q1 2019? </t>
  </si>
  <si>
    <t>National Grid; AECOM (design and build)</t>
  </si>
  <si>
    <t>Will create RNG from wastewater sludge and pre-processed food waste to be injected into National Grid local pipeline infrastructure. Will use a gas dryer, PSA and thermal oxidizer for upgrading. Plant is also implementing organics co-digestion with sewage sludge which may provide 30% or more increase in gas production that will be treated with above mentioned gas cleaning system.  Estimated to produce 169,000 MMBTU per year and reduce 39,000 metric tons of CO2 from organics diversion from landfill.</t>
  </si>
  <si>
    <t>310MGD dry, 700MGD wet</t>
  </si>
  <si>
    <t>221 MGD</t>
  </si>
  <si>
    <t>Anticipated production of enough RNG to heat 5,200 homes</t>
  </si>
  <si>
    <t>90,000 tons/yr.; emissions from removing 19,000 cars per year</t>
  </si>
  <si>
    <t>http://www.newarkohio.net/city-services/water-wastewater-main/waste-water-plant  http://www.newarkohio.net/Stimulus/EECBG/OH-CITY-Newark-Project%20Activity%20page%201.pdf  https://www.energy.gov/sites/prod/files/2014/11/f19/eleazer_biomass_2014.pdf</t>
  </si>
  <si>
    <t>Newark Wastewater Treatment Plant</t>
  </si>
  <si>
    <t>Licking</t>
  </si>
  <si>
    <t xml:space="preserve">Guild Associates, Inc. Continue to provide maintenance for system, are not tracking production </t>
  </si>
  <si>
    <t>City of Newark piloted a Biogas Recovery System utilizing PSA (Pressure Swing Adsorption) gas enrichment technology developed by Guild Associates. The gas upgrade system utilizes specialized adsorbents and process cycles to produce pipeline quality natural gas which is sold to a utility. No codigestion.</t>
  </si>
  <si>
    <t>20 million gal/day</t>
  </si>
  <si>
    <t>Approx. 75% of upgraded gas goes to boilers that heat digesters</t>
  </si>
  <si>
    <t>Columbia Boulevard Wastewater Treatment Plant</t>
  </si>
  <si>
    <t>Multnomah</t>
  </si>
  <si>
    <t>City of Portland Environmental Services</t>
  </si>
  <si>
    <t>450 million gal/day</t>
  </si>
  <si>
    <t>65.5 million gal/day</t>
  </si>
  <si>
    <t>Private, for municipal vehicles</t>
  </si>
  <si>
    <t>Provisions to codigest in future (FOG and potentially food waste), starting approx. 2023.</t>
  </si>
  <si>
    <t>1.7 MW/hr.</t>
  </si>
  <si>
    <t>21,000 tons/year</t>
  </si>
  <si>
    <t>Dos Rios Water Recycling Center</t>
  </si>
  <si>
    <t>Bexar</t>
  </si>
  <si>
    <t>San Antonio Water System; Ameresco, Inc.; Guild Associates, Inc.</t>
  </si>
  <si>
    <t>125MGD</t>
  </si>
  <si>
    <t>94.7MGD</t>
  </si>
  <si>
    <t>Over 20 years, project anticipated to treat and transfer at least 900,000 cubic feet/day of gas to a nearby commercial gas pipeline</t>
  </si>
  <si>
    <t>9,118 tons</t>
  </si>
  <si>
    <t>http://www.kingcounty.gov/depts/dnrp/wtd/system/south.aspx</t>
  </si>
  <si>
    <t>South Wastewater Treatment Plant (King County)</t>
  </si>
  <si>
    <t>1987, upgraded and enlarged 1995</t>
  </si>
  <si>
    <t>King County Department of Natural Resources and Parks, WA</t>
  </si>
  <si>
    <t>Uses scrubbing technology to upgrade biogas injecting the RNG into a natural gas pipeline; has been doing so for over twenty-five years; 50% to NG pipeline (no contracts with electric utilities) and 50% used onsite for electricity and heat production. Upgrading system is a “Binax” high-pressure water-solvent biogas treatment system (similar to the “Greenlane” system)</t>
  </si>
  <si>
    <t>115 million gal/day</t>
  </si>
  <si>
    <t>70 million</t>
  </si>
  <si>
    <t xml:space="preserve">No codigestion, possibly in future. Cost of infrastructure, RIN splitting are issues. </t>
  </si>
  <si>
    <t>4 MW</t>
  </si>
  <si>
    <t>13,556 MTE</t>
  </si>
  <si>
    <t>Janesville Wastewater Treatment Plant</t>
  </si>
  <si>
    <t>Rock</t>
  </si>
  <si>
    <t>Online February 2013</t>
  </si>
  <si>
    <t>25 million gal/day</t>
  </si>
  <si>
    <t>13 million gal/day</t>
  </si>
  <si>
    <t>No codigestion</t>
  </si>
  <si>
    <t xml:space="preserve">1937MWh/yr. </t>
  </si>
  <si>
    <t>https://www.sacbee.com/community/roseville-placer/article143222324.html
https://www.roseville.ca.us/news/what_s_happening_in_roseville/biosolids-to-energy_project_gets_grant_funding 
https://www.roseville.ca.us/government/departments/environmental_utilities/utility_infrastructure_and_projects/capital_improvements___rehabilitation_projects/pleasant_grove_wastewater_expansion 
https://youtu.be/ilq5XuijCv0</t>
  </si>
  <si>
    <t>Roseville Energy Recovery Project (Pleasant Grove WWTP)</t>
  </si>
  <si>
    <t>Placer</t>
  </si>
  <si>
    <t>South Placer Wastewater Authority</t>
  </si>
  <si>
    <t>12MGD</t>
  </si>
  <si>
    <t xml:space="preserve">Private, for municipal vehicles </t>
  </si>
  <si>
    <t>Codigesting FOG initially, may move on to other food wastes</t>
  </si>
  <si>
    <t>Victor Valley Wastewater Reclamation Authority</t>
  </si>
  <si>
    <t>Anaergia, will operate facility</t>
  </si>
  <si>
    <t xml:space="preserve">Retrofit of electricity project. The project will utilize Anaergia’s Omnivore high solids anaerobic digestion retrofit to triple capacity and increase redundancy of the existing digester infrastructure. Sludge and food waste will be digested to generate biogas that will be conditioned and upgraded into pipeline quality natural gas utilizing systems designed and supplied by Anaergia affiliates. Additionally, Anaergia will operate the gas upgrading facility. Will abate 1.5 million tons of CO2e annually, produce equivalent of 2 million DGE annually. </t>
  </si>
  <si>
    <t>10.7 MGD</t>
  </si>
  <si>
    <t xml:space="preserve">1.5 million tons annually </t>
  </si>
  <si>
    <t>Oakland Wastewater Treatment Plant, Topeka</t>
  </si>
  <si>
    <t>City of Topeka</t>
  </si>
  <si>
    <t xml:space="preserve">Sylvan Coles advises July 2020 project will push 300,000 SCFDE raw gas at 62% methane. </t>
  </si>
  <si>
    <t>45 MGD</t>
  </si>
  <si>
    <t xml:space="preserve">TBD </t>
  </si>
  <si>
    <t>Metropolitan Wastewater Management Commission, Eugene / Springfield</t>
  </si>
  <si>
    <t>Lane</t>
  </si>
  <si>
    <t>Metropolitan Wastewater Management Commission</t>
  </si>
  <si>
    <t>49MGD</t>
  </si>
  <si>
    <t>https://www.cityoftacoma.org/government/city_departments/environmentalservices/wastewater/wastewater_system/ctp
https://www.thenewstribune.com/news/local/article190093809.html</t>
  </si>
  <si>
    <t>Tacoma Central Wastewater Treatment Plant (Tideflats)</t>
  </si>
  <si>
    <t>Construction Q4 2018</t>
  </si>
  <si>
    <t>City of Tacoma, working with design/build partner McKinstry-Essention LLC</t>
  </si>
  <si>
    <t>129 MGD</t>
  </si>
  <si>
    <t>I was able to speak with one of your colleagues last</t>
  </si>
  <si>
    <t>788 tons/year</t>
  </si>
  <si>
    <t xml:space="preserve">Fresno Clovis Wastewater Treatment Facility </t>
  </si>
  <si>
    <t>City of Fresno</t>
  </si>
  <si>
    <t xml:space="preserve">Was producing conditioned gas for CHP, plan to convert to exporting RNG to pipeline. Major part of current project will be interconnection to the pipeline. No changes to current population of 13 digesters, usually 10 running, 2 being maintained, 1 back up. RNG would be trucked out by project development partner and then injected into the pipeline. May ultimately go for vehicle fuel, but current plan is for pipeline. </t>
  </si>
  <si>
    <t>87.1 MGD</t>
  </si>
  <si>
    <t>58 MGD</t>
  </si>
  <si>
    <t>3.3 MW</t>
  </si>
  <si>
    <t>https://www.epa.gov/sites/production/files/2015-09/documents/presenation_kurtz.pdf  https://www.biocycle.net/2014/12/17/wastewater-treatment-plant-in-compliance-and-off-the-grid/  http://www.greenenergyohio.org/ost/siteDetail.cfm?site_id=1018  https://www.woosteroh.com/sites/default/files/2013%20utilities%20division%20annual%20report.pdf
https://www.woosteroh.com/water/water-utilities-strategic-plan</t>
  </si>
  <si>
    <t>Wooster, Ohio, Wastewater Treatment Plant</t>
  </si>
  <si>
    <t>2022?</t>
  </si>
  <si>
    <t>quasar energy group; City of Wooster</t>
  </si>
  <si>
    <t xml:space="preserve">Biogas from the digesters is fed to a 1.1 MW CHP unit on site that converts it to electricity. City of Wooster looking at installing a biogas upgrade system in the 2020s to be able to sell renewable CNG vehicle fuel. Facility runs on combination of biogas from original digesters and from quasar system, which also processes FOG and food waste from area. Biogas is fed to a 1.1 MW CHP unit on site that converts it to electricity. Quasar sold plant to city of Wooster 2015, biogas upgrading is on hold for now. May look at it again in about 5 years, but City is already starting to buy CNG vehicles. </t>
  </si>
  <si>
    <t>27 MGD</t>
  </si>
  <si>
    <t xml:space="preserve">4.5 million gallons/day </t>
  </si>
  <si>
    <t>600-700kW</t>
  </si>
  <si>
    <t>https://www.mwrd.org/irj/portal/anonymous/calumet
https://www.mwrd.org/irj/portal/anonymous/waterreclamation</t>
  </si>
  <si>
    <t>Metropolitan Water Reclamation District of Greater Chicago, Calumet WRP</t>
  </si>
  <si>
    <t>Cook</t>
  </si>
  <si>
    <t>Metropolitan Water Reclamation District of Greater Chicago</t>
  </si>
  <si>
    <t xml:space="preserve">Plant currently using biogas for CHP, looking at upgrading. Were recently looking at installation of organics receiving station for co-digesting, put on hold with changes in leadership. Biogas utilization task force evaluating options, expected to issue reports first half 2019. Part of question is what to do with the gas.  According to website, would use PSA upgrading system and connect to nearby pipeline. </t>
  </si>
  <si>
    <t>247 MGD</t>
  </si>
  <si>
    <t>Plan codigestion of food waste to increase biogas production ~160%</t>
  </si>
  <si>
    <t>9000 MT/year</t>
  </si>
  <si>
    <t xml:space="preserve">https://www.ieua.org/facilities/carbon-canyon-water-recycling-facility/wastewater-treatment-process/   http://www.calrecycle.ca.gov/organics/conversion/events/digesting12/casestudies.pdf   https://www.ieua.org/facilities/rp-5/#lightbox/0/ </t>
  </si>
  <si>
    <t>Inland Empire Utilities Agency AD Project</t>
  </si>
  <si>
    <t>Chino</t>
  </si>
  <si>
    <t>No plans for RNG</t>
  </si>
  <si>
    <t>Inland Empire Utilities Agency; Environ Strategy Consultants, Inc.</t>
  </si>
  <si>
    <t>Currently produces electricity for on-site use by mixing dairy and food waste with wastewater; approximately 200 TPD of these codigestants being added. ELECTRIC ONLY</t>
  </si>
  <si>
    <t>16.3 MGD</t>
  </si>
  <si>
    <t>9 MGD</t>
  </si>
  <si>
    <t>1.5MW</t>
  </si>
  <si>
    <t>1,298,494 /yr.</t>
  </si>
  <si>
    <t>South Sioux City Digester</t>
  </si>
  <si>
    <t xml:space="preserve">OPERATIONS SUSPENDED </t>
  </si>
  <si>
    <t>607681 (capacity)</t>
  </si>
  <si>
    <t>Co-digestion of food waste</t>
  </si>
  <si>
    <t xml:space="preserve">https://www.ocsd.com/Home/ShowDocument?id=18208 https://www.ocsd.com/Home/ShowDocument?id=19428 https://www.ocsd.com/Home/ShowDocument?id=19430
</t>
  </si>
  <si>
    <t>Orange Country Sanitation District WWTP Plants 1&amp;2</t>
  </si>
  <si>
    <t>185,000,000 gals/day</t>
  </si>
  <si>
    <t>Average of 129.7MCF/month od untreated biogas between two plants. Hydrogen vehicle fueling station ran adjacent to facility form 2011-2015.</t>
  </si>
  <si>
    <t>90,000,000 kWh/year</t>
  </si>
  <si>
    <t xml:space="preserve">http://www.energy.ca.gov/2017publications/CEC-500-2017-004/CEC-500-2017-004.pdf; adding food waste and FOG at WWTP, but apparently electric only. </t>
  </si>
  <si>
    <t>Sacramento Municipal Utility District/Argonne National Laboratory Biomethane Anaerobic Digester Project</t>
  </si>
  <si>
    <t>Sacramento Municipal Utility District; CleanWorld; Argonne National Laboratory</t>
  </si>
  <si>
    <t>Pilot project demonstrating a process to increase production of biogas through anaerobic digestion while reducing the amount of CO2 produced; produced six months’ worth of LNG or CNG for use as transportation fuel</t>
  </si>
  <si>
    <t>https://www.epa.gov/sites/production/files/2014-09/documents/usafa_npdes_permitstatementofbasissep2014.pdf</t>
  </si>
  <si>
    <t>United States Air Force Academy (USAFA) Wastewater Treatment Plant</t>
  </si>
  <si>
    <t>El Paso</t>
  </si>
  <si>
    <t>Department of Defense (DoD) Environmental Security Technology Certification Program (ESTCP); CDM Smith, Inc.</t>
  </si>
  <si>
    <t>Demonstration project to determine the viability of using AD to manage food waste, with a goal of producing biogas and converting it to   Never got beyond discussion.</t>
  </si>
  <si>
    <t>http://www.dunedingov.com/index.aspx?page=116</t>
  </si>
  <si>
    <t>Dunedin Wastewater Treatment Plant</t>
  </si>
  <si>
    <t>Pinellas</t>
  </si>
  <si>
    <t>MagneGas</t>
  </si>
  <si>
    <t>Plasma Arc Flow system used to gasify liquid wastes to create a hydrogen-based natural gas alternative that could fuel vehicles</t>
  </si>
  <si>
    <t>6 million gal/day</t>
  </si>
  <si>
    <t>http://www.abc12.com/home/headlines/Biogas-is-producing-electricity-at-Flint-waste-water-plant-338569892.html</t>
  </si>
  <si>
    <t>Flint Wastewater Treatment Plant</t>
  </si>
  <si>
    <t>Kettering University; Swedish Biogas International, LLC</t>
  </si>
  <si>
    <t>Biogas currently used to power a boiler to heat AD; some injection into pipeline; second phase of project will provide electricity for facility and create vehicle fuel for facility trucks and university buses</t>
  </si>
  <si>
    <t>75 million gal/day</t>
  </si>
  <si>
    <t>50 million gal/day</t>
  </si>
  <si>
    <t>1.6  MW/hr.</t>
  </si>
  <si>
    <t>http://www.ohiowea.org/docs/BarhorstGupta-DaytonGasScrubber.pdf</t>
  </si>
  <si>
    <t>Guild Associates, Inc.</t>
  </si>
  <si>
    <t>Methane gas, produced as a by-product of anaerobic digestion, is used as a fuel for cogeneration engines and pipeline injection. Guild pressure swing adsorption upgrading system.</t>
  </si>
  <si>
    <t>72 million gal/day</t>
  </si>
  <si>
    <t>55 to 60 million gal/day</t>
  </si>
  <si>
    <t>Co-Generation with methane (sludge gas) gas used for Peak Shaving Days in the Summer Time. Volume of methane gas is not sufficient to run Co-Gen on a regular basis. Upgraded gas production capacity is 1,000,000 SCFD.</t>
  </si>
  <si>
    <t>https://www.bioohio.com/item/quasar-energy-group-llc-three-creek-bioenergy/ http://quasareg.com/New/wp-content/uploads/2016/10/Three-Creek-2016.pdf</t>
  </si>
  <si>
    <t>Three Creek BioEnergy</t>
  </si>
  <si>
    <t>Digests sludge from wastewater treatment plant as well as local business waste to generate electricity and produce vehicle fuel</t>
  </si>
  <si>
    <t>42,000 tons/year</t>
  </si>
  <si>
    <t xml:space="preserve">Generates enough electricity to power 618 homes per day. Quasar digester is co-located at WWTP site, but is in now way connected-- do not discharge anything via WWTP, do not use any water from the plant in their process. It is, in effect, NOT a WWTP project. </t>
  </si>
  <si>
    <t>1 MW/hr.</t>
  </si>
  <si>
    <t>WRRF PROJECTS: STATUS</t>
  </si>
  <si>
    <t>Fuel Type Produced:</t>
  </si>
  <si>
    <t>Gas is being injected into pipeline for vehicle and/or other uses</t>
  </si>
  <si>
    <t>Gas is being used locally to fuel vehicles (onsite filling station or direct pipeline to local fueling)</t>
  </si>
  <si>
    <t>Both the above apply</t>
  </si>
  <si>
    <t xml:space="preserve">It is not known what the gas is/will be used for </t>
  </si>
  <si>
    <t>The gas is not being used for vehicles or pipeline injection</t>
  </si>
  <si>
    <t>Project Status:</t>
  </si>
  <si>
    <t>RNG project or expansion is online</t>
  </si>
  <si>
    <t>Construction is underway on RNG project or expansion</t>
  </si>
  <si>
    <t>There are plans for an RNG project or project expansion</t>
  </si>
  <si>
    <t>Planned RNG project has been scrapped</t>
  </si>
  <si>
    <t>Planned RNG project has been scrapped, potential to re-visit in future</t>
  </si>
  <si>
    <t>RNG project or expansion has ceased operations</t>
  </si>
  <si>
    <t>RNG project has been shut down, potential to re-open in future</t>
  </si>
  <si>
    <t>The RNG project is offline temporarily</t>
  </si>
  <si>
    <t xml:space="preserve">A planned project has been suspended/is in limbo, but has not been cancelled. </t>
  </si>
  <si>
    <t>Unknown at this time, to be determined</t>
  </si>
  <si>
    <t>Onsite fueling:</t>
  </si>
  <si>
    <t xml:space="preserve">2020 update, onsite fueling  list options based on public information </t>
  </si>
  <si>
    <t>There will be not be fueling available at the facility</t>
  </si>
  <si>
    <t>There will be a private fueling station attached to the facility</t>
  </si>
  <si>
    <t>There will be a public fueling station attached to the facility</t>
  </si>
  <si>
    <t>It is not known whether there is a fueling facility</t>
  </si>
  <si>
    <t xml:space="preserve">ABOUT THE INFORMATION ON THIS PAGE: </t>
  </si>
  <si>
    <t>Food Waste</t>
  </si>
  <si>
    <t>Landfills</t>
  </si>
  <si>
    <t xml:space="preserve">Livestock, agriculture </t>
  </si>
  <si>
    <t>Water Resource Recovery Facilities (WRRFs)</t>
  </si>
  <si>
    <t>WRRFs</t>
  </si>
  <si>
    <t>Abbreviations/vocabulary</t>
  </si>
  <si>
    <t xml:space="preserve">BTU  </t>
  </si>
  <si>
    <t>British Thermal Unit</t>
  </si>
  <si>
    <t>CNG</t>
  </si>
  <si>
    <t>Compressed natural gas</t>
  </si>
  <si>
    <t>DGE</t>
  </si>
  <si>
    <t xml:space="preserve">Diesel gallon equivalent (Energy content equivalent to one gallon of diesel fuel) </t>
  </si>
  <si>
    <t xml:space="preserve">GGE </t>
  </si>
  <si>
    <t>Gasoline gallon equivalent (Energy content equivalent to one gallon of gasoline)</t>
  </si>
  <si>
    <t>Kg</t>
  </si>
  <si>
    <t>Kilogram</t>
  </si>
  <si>
    <t>LFG</t>
  </si>
  <si>
    <t>Landfill gas</t>
  </si>
  <si>
    <t>LMOP</t>
  </si>
  <si>
    <t>Landfill Methane Outreach Program (US EPA database)</t>
  </si>
  <si>
    <t>LNG</t>
  </si>
  <si>
    <t>Liquefied natural gas</t>
  </si>
  <si>
    <t xml:space="preserve">MMBTU </t>
  </si>
  <si>
    <t>Million British Thermal Units</t>
  </si>
  <si>
    <t xml:space="preserve">MMT </t>
  </si>
  <si>
    <t>Million metric ton(ne)s</t>
  </si>
  <si>
    <t xml:space="preserve">MT </t>
  </si>
  <si>
    <t>Metric ton(ne)</t>
  </si>
  <si>
    <t>PSA</t>
  </si>
  <si>
    <t>Pressure swing adsorption (a gas upgrading technology)</t>
  </si>
  <si>
    <t>RFS</t>
  </si>
  <si>
    <t>US EPA Renewable Fuel Standard</t>
  </si>
  <si>
    <t>RIN</t>
  </si>
  <si>
    <t>Renewable Identification Number-- a credit under the RFS, based on an ethanol gallon equivalent of energy. 11.7 RINs to the MMBTU</t>
  </si>
  <si>
    <t>RNG</t>
  </si>
  <si>
    <t>Renewable natural gas</t>
  </si>
  <si>
    <t xml:space="preserve">SCF </t>
  </si>
  <si>
    <t>Standard cubic foot</t>
  </si>
  <si>
    <t xml:space="preserve">SCFD  </t>
  </si>
  <si>
    <t>Standard cubic feet per day</t>
  </si>
  <si>
    <t xml:space="preserve">SCFM </t>
  </si>
  <si>
    <t>Standard cubic feet per minute</t>
  </si>
  <si>
    <t>Selexol</t>
  </si>
  <si>
    <t>Chemical biogas upgrading process</t>
  </si>
  <si>
    <t>TPD</t>
  </si>
  <si>
    <t>Tons per day</t>
  </si>
  <si>
    <t xml:space="preserve">TPY </t>
  </si>
  <si>
    <t>Tons per year</t>
  </si>
  <si>
    <t>TSA</t>
  </si>
  <si>
    <t xml:space="preserve">Temperature swing adsorption (a gas upgrading technology) </t>
  </si>
  <si>
    <t xml:space="preserve">US DOE </t>
  </si>
  <si>
    <t xml:space="preserve">US Department of Energy </t>
  </si>
  <si>
    <t xml:space="preserve">US DOE AFDC </t>
  </si>
  <si>
    <t>US DOE Alternative Fuels Data Center</t>
  </si>
  <si>
    <t xml:space="preserve">US EIA </t>
  </si>
  <si>
    <t xml:space="preserve">US Energy Information Administration </t>
  </si>
  <si>
    <t xml:space="preserve">US EPA </t>
  </si>
  <si>
    <t>US Environmental Protection Agency</t>
  </si>
  <si>
    <t>CONVERSION FACTORS</t>
  </si>
  <si>
    <t>BTU and GGE</t>
  </si>
  <si>
    <t xml:space="preserve">112,194 BTU/GGE </t>
  </si>
  <si>
    <t>BTU and DGE</t>
  </si>
  <si>
    <t>128,700 BTU per DGE</t>
  </si>
  <si>
    <t>DGE and GGE</t>
  </si>
  <si>
    <t xml:space="preserve">1 DGE = 1.147 GGE; 1 GGE = .8717 DGE </t>
  </si>
  <si>
    <t>BTU and SCF</t>
  </si>
  <si>
    <t>Approx 1000 BTUs per SCF of natural gas</t>
  </si>
  <si>
    <t>BTUs and therms</t>
  </si>
  <si>
    <t>1 MMBTU = 10 US therms; 1 therm = 100,000 BTU</t>
  </si>
  <si>
    <t>SCF and GGE</t>
  </si>
  <si>
    <t>~112 SCF upgraded gas/GGE</t>
  </si>
  <si>
    <t xml:space="preserve">SCF and DGE </t>
  </si>
  <si>
    <t>~129 SCF upgraded gas/DGE</t>
  </si>
  <si>
    <t>1 US ton</t>
  </si>
  <si>
    <t>2000 pounds, 907.185 kilograms, .907185 metric tonne</t>
  </si>
  <si>
    <t>1 metric tonne</t>
  </si>
  <si>
    <t>1000 kg, 2204.62 pounds, 1.10231 US ton</t>
  </si>
  <si>
    <t>FORMULAS</t>
  </si>
  <si>
    <t>Convert SCFM to SCFD</t>
  </si>
  <si>
    <t>SCFM*60*24 = SCFD</t>
  </si>
  <si>
    <t>Convert SCFD to SCFM</t>
  </si>
  <si>
    <t xml:space="preserve">SCFD/(60*24) = SCFM </t>
  </si>
  <si>
    <t>Convert DGE to GGE</t>
  </si>
  <si>
    <t>GGE = DGE *1.147 or DGE/.87</t>
  </si>
  <si>
    <t>Convert GGE to DGE</t>
  </si>
  <si>
    <t>DGE = GGE/1.147 of GGE *.87</t>
  </si>
  <si>
    <t>Convert GGE to MMBTU</t>
  </si>
  <si>
    <t>MMBTU =  GGE*.112194</t>
  </si>
  <si>
    <t>Convert MMBTU to GGE</t>
  </si>
  <si>
    <t>GGE = MMBTU/.112194</t>
  </si>
  <si>
    <t>Convert SCFD to MMBTU/yr</t>
  </si>
  <si>
    <t>(Assumes 1000 BTU/SCFD, 90% run time, 365 days)</t>
  </si>
  <si>
    <t>Convert MMBTU to SCFD</t>
  </si>
  <si>
    <t>Convert SCFD raw dairy biogas to SCFD upgraded gas</t>
  </si>
  <si>
    <t>SCFD raw biogas * .6 = SCFD upgraded gas</t>
  </si>
  <si>
    <t xml:space="preserve">RINs per MMBTU (landfill gas) </t>
  </si>
  <si>
    <t>BTUs per RIN</t>
  </si>
  <si>
    <t>CO2e emissions 1 gallon gasoline</t>
  </si>
  <si>
    <t>19.6 pounds (US EIA)</t>
  </si>
  <si>
    <t>CO2e emissions 1 gallon E10 gasoline</t>
  </si>
  <si>
    <t>17.6 pounds (US EIA)</t>
  </si>
  <si>
    <t>CO2e emissions 1 gallon diesel</t>
  </si>
  <si>
    <t>22.4 pounds (US EIA)</t>
  </si>
  <si>
    <t>Online government databases</t>
  </si>
  <si>
    <t>US DOE, Fuel conversion factors to GGEs</t>
  </si>
  <si>
    <t>https://epact.energy.gov/fuel-conversion-factors</t>
  </si>
  <si>
    <t>US EPA Agstar</t>
  </si>
  <si>
    <t>https://www.epa.gov/agstar</t>
  </si>
  <si>
    <t>US EPA Agstar data and trends</t>
  </si>
  <si>
    <t>https://www.epa.gov/agstar/agstar-data-and-trends</t>
  </si>
  <si>
    <t>US EPA Part 80 fuels program lists (RFS producers)</t>
  </si>
  <si>
    <t>https://cdxnodengn.epa.gov/cdx-otaq-reg-III/api/public/reports/Part80FuelsProgramsList</t>
  </si>
  <si>
    <t>US EPA Landfill Methane Outreach Program (LMOP)</t>
  </si>
  <si>
    <t>https://www.epa.gov/lmop</t>
  </si>
  <si>
    <t>PROJECT TYPE</t>
  </si>
  <si>
    <t>NAME</t>
  </si>
  <si>
    <t>STATE</t>
  </si>
  <si>
    <t>Landfill</t>
  </si>
  <si>
    <t>Livestock, agriculture</t>
  </si>
  <si>
    <t>WRRF</t>
  </si>
  <si>
    <t>Eco Vista</t>
  </si>
  <si>
    <t>Foothills Renewables</t>
  </si>
  <si>
    <t>North Country Environmental Services Landfill (Casella)</t>
  </si>
  <si>
    <t>Grand Rapids WRRF</t>
  </si>
  <si>
    <t>https://www.waste360.com/landfill/rumpke-archaea-energy-break-ground-landfill-gas-energy-plant-indiana-landfill  https://www.waste360.com/landfill-operations/archaea-coo-benham-talks-high-btu-renewable-gas-growing-markets 
https://www.archaeaenergy.com/projects</t>
  </si>
  <si>
    <t>Ahlem Farms Vista Dairy Digester Project (Merced Cluster)</t>
  </si>
  <si>
    <t>Project will replace former LFG to electricity project that is being retired. Gas at landfill currently being burned off as flare.  Will collect 32000 scfm LFG and produce 6 mil GGE RNG/year to be used for fueling vehicles</t>
  </si>
  <si>
    <t xml:space="preserve">WM Renewable Energy, LLC, Air Liquide </t>
  </si>
  <si>
    <t>Republic Services, Inc. owns landfill; Fortistar owns upgrading facility (bought from  EDF Renewables)</t>
  </si>
  <si>
    <t xml:space="preserve">Renovar Arlington </t>
  </si>
  <si>
    <t xml:space="preserve">Waste Management Renewable Energy  </t>
  </si>
  <si>
    <t>Waste Management Renewable Energy</t>
  </si>
  <si>
    <t xml:space="preserve">Site is being redeveloped for RNG  injected into the pipeline infrastructure. Based on coummunication with WMI, project will push 3000SCFM of raw gas for upgrading. Upgrading technology will be Selexol via Morrow Renewables, combined with Air Liquide cryogenic nitrogen rejection. </t>
  </si>
  <si>
    <t>Synthica</t>
  </si>
  <si>
    <t xml:space="preserve">PSA upgrading provided by Greenlane Renewables </t>
  </si>
  <si>
    <t>Began construction November 2020, online by October 2021</t>
  </si>
  <si>
    <t xml:space="preserve">Codigesting food waste. Waste strems will be digested separately to preserve the RINs. Food waste will go into original digesters, which have been disused for some time. </t>
  </si>
  <si>
    <t>Sometime in the 2030s.</t>
  </si>
  <si>
    <t>http://www.saws.org/Your_Water/Recycling/Biogas/   http://www.saws.org/latest_news/water_news/docs/WaterNews201011.pdf
https://www.ameresco.com/wp-content/uploads/2020/04/san-antonio-water-system-tx.pdf</t>
  </si>
  <si>
    <t>Dayton Wastewater Treatment Plant (2020 Strategy for a Sustainable Dayton" doc says city should produce RNG at WRRF https://www.daytonohio.gov/DocumentCenter/View/9796/August-2020-Dayton-Sustainability-Strategy-Plan</t>
  </si>
  <si>
    <t>WM Prairie View Recycling and Disposal</t>
  </si>
  <si>
    <t xml:space="preserve">Landfill Waste Management; upgrading project, Kinder Morgan </t>
  </si>
  <si>
    <t>Landfill Waste Mangement; upgrading project, Kinder Morgan</t>
  </si>
  <si>
    <t xml:space="preserve">Renewable Power Producers is a landfill gas to pipeline quality natural gas processing facility located at the Hamm Sanitary Landfill in Lawrence, KS. The project became operational in 2017. All planning, permitting, engineering, contracts and installation were completed by Enerdyne Power Systems. Gas collection system has over 150 gas collection points.  CO2 removal equipment uses Evonik membrane systems. 7.2 mile pipeline to interconnect to Southern Star Central Gas Pipeline. Nameplate design processing of 4000 SCFM of raw landfill gas. Enerdyne website estimates production at 4.5 million gallons annually. 
</t>
  </si>
  <si>
    <t xml:space="preserve">LFG collection system in place. Pine Creek RNG site describes project as being in exploration and design.  2017, city of Richland issued RFP for LFG project, specifying RNG. As of late 2021, Pine Creek is doing its design and sinking more wells. Based on 2016 technical memorandum produced for City of RIchland,  landfill is being expanded starting mid-2020s, LFG flows will start off at about 425 SCFM when project is completed in 2022, will then rise to about 1450SCFM just before closure in 2094. Output figures in this table are based on 450SCFM and 50% methane. </t>
  </si>
  <si>
    <t xml:space="preserve">Republic Services, Ameresco, Contra Costa County. </t>
  </si>
  <si>
    <t xml:space="preserve">Forward Landfill </t>
  </si>
  <si>
    <t xml:space="preserve">No codigestion. 4 digesters. Unison BioCNG upgrading technology. RNG will be injected into pipeline, after which City will buy back gas for its municipal fleets. </t>
  </si>
  <si>
    <t xml:space="preserve">As of 2021, with phases 1 &amp; 2 complete, they are accepting about 100,000 tons per year. </t>
  </si>
  <si>
    <t>With phase 2 complete, approx. 470 tpd. With competion of phase 4, this will increase to ~900 tpd</t>
  </si>
  <si>
    <t>River Birch &amp; Jefferson Parish Landfills</t>
  </si>
  <si>
    <t xml:space="preserve">Air-Liquide membrane separation produces 2,000 MMBtu/day of 950 Btu/scf gas, biological sulfur removal system named Thiopak. Creates high BTU RNG injected into the pipeline infrastructure. WIth 2014 upgrade, 3400 MMBTU day.  Started processing gas from nearby Jefferson Parish Landfill in 2019-2020. 2021, combined otal form two projects 6000 dekatherms per day. </t>
  </si>
  <si>
    <t>6/1/2010, expansions 2014 and 2017, began assipting gas form neighboring Jefferson Parish LF 2019-2020.</t>
  </si>
  <si>
    <t>Snohomish</t>
  </si>
  <si>
    <t>Brightwater Wastewater Treatment Plant</t>
  </si>
  <si>
    <t>41 MGD</t>
  </si>
  <si>
    <t>30MGD</t>
  </si>
  <si>
    <t>Construction Q3 2020, gas flowing Q4 2021</t>
  </si>
  <si>
    <t>Shoosmith Brothers</t>
  </si>
  <si>
    <t>Chesterfield</t>
  </si>
  <si>
    <t xml:space="preserve">According to RFP, landfill has a gas collection system but is flaring everything. Landfill manager foresees construction starting in Q4 2020. Production will start off at about 2000 SCFM of upgraded gas, ramping up to 2500-3500. I've based estimates on 3000. Morrow Renewables won the RFP,  are developing gas upgrading system. </t>
  </si>
  <si>
    <t>https://www.shell.us/about-us/projects-and-locations/shell-new-energies-junction-city--biomethane-facility.html#iframe=L2Zvcm1zL2VuX3VzX2Jpb21ldGhhbmU  https://ec.europa.eu/info/sites/info/files/29_laxmi_narasimhan.pdf
https://www.hydrocarbonengineering.com/clean-fuels/29092021/shell-starts-production-at-us-renewable-natural-gas-facility/</t>
  </si>
  <si>
    <t>Yes, manure and food waste</t>
  </si>
  <si>
    <t xml:space="preserve">MWMC has jurisdiction for Eugene, Springfield and other parts of the area. Project is using personnel from both cities. WWTP currently has 4 digesters, using all biogas for CHP. Moving away from that model, all to go to RNG. Offtaker is Blue Source, will be injected into Northwest Natural pipeline, destined for CA vehicle market. Upgrading technology provided by Greenlane (PSA). </t>
  </si>
  <si>
    <t>Landfill, Republic Services, Inc. Gas upgrading, Archaea Energy &amp; BP</t>
  </si>
  <si>
    <t>Sauk Trail Hills Landfill (Republic Services, Archaea)</t>
  </si>
  <si>
    <t>Johnson County Landfill (formerly Deffenbaugh) (WM, Archaea)</t>
  </si>
  <si>
    <t>Landfill, Waste Management; upgrading operation,  Archaea Energy</t>
  </si>
  <si>
    <t>North Shelby Landfill (Republic, Archaea)</t>
  </si>
  <si>
    <t>Oklahoma City Landfill (Waste Connections, Archaea)</t>
  </si>
  <si>
    <t>Landfill: Waste Connections, Inc. Gas and upgrading projects: Archaea Energy</t>
  </si>
  <si>
    <t xml:space="preserve">Landfill, Republic Services; upgrading operation, Archaea Energy </t>
  </si>
  <si>
    <t>Southeast Oklahoma City (Republic, Archaea)</t>
  </si>
  <si>
    <t>South Shelby (Republic, Archaea)</t>
  </si>
  <si>
    <t>Landfill, Republic Services; upgrading, Archaea Energy</t>
  </si>
  <si>
    <t>Franklin County Sanitary Landfill (Archaea)</t>
  </si>
  <si>
    <t>Butler County (Waste Connections, Archaea)</t>
  </si>
  <si>
    <t>Landfill, Waste Connections; upgrading system, Archaea Energy</t>
  </si>
  <si>
    <t>Archaea Energy; Innovative Energy Systems, LLC</t>
  </si>
  <si>
    <t>Seneca Meadows SWMF (Progressive, Archaea)</t>
  </si>
  <si>
    <t>Bethlehem (Waste Connections, Archaea)</t>
  </si>
  <si>
    <t>Des Moines WWTP</t>
  </si>
  <si>
    <t>RI</t>
  </si>
  <si>
    <t>Clinton</t>
  </si>
  <si>
    <t>Pipeline injection began Q4 2021.</t>
  </si>
  <si>
    <t>Magnolia Sanitary Landfill</t>
  </si>
  <si>
    <t>Polk</t>
  </si>
  <si>
    <t>Des Moines Wastewater Reclamation Authority</t>
  </si>
  <si>
    <t>https://www.dsm.city/news_detail_T2_R269.php
https://www.bioenergy-news.com/news/des-moines-wra-producing-rng-following-wwtp-upgrade/
https://cdmsmith.com/en/Client-Solutions/Projects/Des-Moines-Biogas
https://www.dmmwra.org/156/Facility-Overview</t>
  </si>
  <si>
    <t xml:space="preserve">Facility accepts municipal sludge and other organic waste from around the region. This created a surplus of biogas which led to the RNG project. Upgrading is through pessure swing adsorption.  </t>
  </si>
  <si>
    <t>Rhode Island Bioenergy Facility (formerly Orbit Energy)</t>
  </si>
  <si>
    <t xml:space="preserve">Anaergia, which bought former bought former Orbit Energy AD electricity facility summer 2021 </t>
  </si>
  <si>
    <t>100,000 TPY</t>
  </si>
  <si>
    <t>~270</t>
  </si>
  <si>
    <t>Food waste from area supermarkets, schools and food manufacturers</t>
  </si>
  <si>
    <t>Area businesses and institutions</t>
  </si>
  <si>
    <t>https://www.cdfa.ca.gov/oefi/ddrdp/docs/DDRDP_Report_March2021.pdf 
https://www.cdfa.ca.gov/oefi/DDRDP/docs/DDRDP_Project_Level_Data.pdf
https://www.cdfa.ca.gov/oefi/DDRDP/docs/DDRDP_Project_Level_Data.pdf</t>
  </si>
  <si>
    <t>http://biomassmagazine.com/articles/15849/aemetis-closes-on-dairy-digester-rng-equity-investment http://www.aemetis.com/aemetis-biogas-project-awarded-4-1-million-grant-for-biogas-upgrading/
http://www.aemetis.com/aemetis-closes-non-dilutive-30-million-equity-investment-to-build-biomethane-pipelines-and-dairy-digesters-to-produce-below-zero-carbon-renewable-natural-gas-rng/https://www.cdfa.ca.gov/oefi/ddrdp/docs/DDRDP_Report_March2021.pdf 
https://www.cdfa.ca.gov/oefi/DDRDP/docs/DDRDP_Project_Level_Data.pdf
https://www.cdfa.ca.gov/oefi/DDRDP/docs/DDRDP_Project_Level_Data.pdf</t>
  </si>
  <si>
    <t xml:space="preserve">Fam scale </t>
  </si>
  <si>
    <t>Brightmark Helios Gardeau Crest Farms</t>
  </si>
  <si>
    <t>Brightmark Helios Lawnhurst Farms</t>
  </si>
  <si>
    <t>Brightmark Helios Willet Dairy</t>
  </si>
  <si>
    <t>Brightmark RNG Holdings (Chevron Partnership)</t>
  </si>
  <si>
    <t xml:space="preserve">Part of Brightmark Helios project involving three farms in Western New York. Based on project descirption, each farm will have upgrading capacity, and will inject into nearby pipelines. Between three farms, project will produce 189,000 MMBTU per year, and offset 55,438 tons of CO2e per year.  Estimated output and offset divided evenly between three farms. </t>
  </si>
  <si>
    <t>Brightmark Crossroads</t>
  </si>
  <si>
    <t xml:space="preserve">Allegan </t>
  </si>
  <si>
    <t xml:space="preserve">MI </t>
  </si>
  <si>
    <t xml:space="preserve">The Crossroads renewable natural gas (RNG) project in Wayland, Michigan includes building a new anaerobic digester on Crossroads Farms in Allegan County. The 3,200 cows that live on this farm produce a total of 36.5 million gallons of manure each year. </t>
  </si>
  <si>
    <t xml:space="preserve">36.5 million gallons </t>
  </si>
  <si>
    <t>https://www.brightmark.com/work/the-crossroads-project/</t>
  </si>
  <si>
    <t>42.3 million gallons</t>
  </si>
  <si>
    <t xml:space="preserve">Grant </t>
  </si>
  <si>
    <t>https://www.brightmark.com/work/the-mill-valley-project/</t>
  </si>
  <si>
    <t>The Full Circle renewable natural gas (RNG) project in Hurley, South Dakota includes building 4 new anaerobic digesters on the newly built Full Circle Dairy Farm in Turner County. The 7,000 cows that will live on this farm will produce a total of 91.3 million gallons of manure each year. After the farm is operational and the anaerobic digestion project is complete, the methane generated by this manure will be captured, cleaned, and converted into RNG, which can be used for transportation, cooking, or electricity. Full circle is part of the third tranche of projects developed under the Brightmark RNG Holdings LLC joint venture with Chevron U.S.A. Inc. </t>
  </si>
  <si>
    <t>91.3 million gallons</t>
  </si>
  <si>
    <t>The Mill Valley renewable natural gas (RNG) project in Milbank, South Dakota includes building two new anaerobic digesters on Mill Valley Farm. The 3,200 cows that live on this farm produce a total of 42.3 million gallons of manure each year. After the project is complete, the methane generated by this manure will be captured, cleaned, and converted into RNG, which can be used for transportation, cooking, or electricity. Mill Valley is part of the third tranche of projects developed under the Brightmark RNG Holdings LLC joint venture with Chevron U.S.A. Inc. </t>
  </si>
  <si>
    <t>Baldwin County</t>
  </si>
  <si>
    <t>Baldwin</t>
  </si>
  <si>
    <t xml:space="preserve">Baldwin County </t>
  </si>
  <si>
    <t xml:space="preserve">Blue Ridge Landfill </t>
  </si>
  <si>
    <t xml:space="preserve">Franklin </t>
  </si>
  <si>
    <t>Landfill, Waste Connections</t>
  </si>
  <si>
    <t xml:space="preserve">Mallard Ridge Landfill </t>
  </si>
  <si>
    <t xml:space="preserve">Walworth </t>
  </si>
  <si>
    <t xml:space="preserve">GFL Environmental </t>
  </si>
  <si>
    <t>Republic Carbon Limestone</t>
  </si>
  <si>
    <t xml:space="preserve">Winnebago LF </t>
  </si>
  <si>
    <t>Output estimates based on LMOP collection/flared numbers</t>
  </si>
  <si>
    <t xml:space="preserve">Lake </t>
  </si>
  <si>
    <t>Mahoning</t>
  </si>
  <si>
    <t xml:space="preserve">Person </t>
  </si>
  <si>
    <t xml:space="preserve">Granger Waste Management Corp. </t>
  </si>
  <si>
    <t xml:space="preserve">Waste Connections Inc. </t>
  </si>
  <si>
    <t>Lincoln/Union</t>
  </si>
  <si>
    <t xml:space="preserve">Van Winkle Dairy (Dynamic Group) </t>
  </si>
  <si>
    <t>https://www.brightmark.com/work/the-full-circle-project/
https://thenewera-online.com/full-circle-dairy-approved-for-amended-conditional-use-permit/</t>
  </si>
  <si>
    <t>60MGD</t>
  </si>
  <si>
    <t xml:space="preserve">Do codigestion of area industrial, residential and commercial food waste, also accepting wastes from biodeisel manufacturers and biosolids from other WWTPs. Have fixed price agreement with Shell Energy to purchase gas, facility itself is not involved in RIN market.   </t>
  </si>
  <si>
    <t xml:space="preserve">Started pipeline injection October 2020. </t>
  </si>
  <si>
    <t xml:space="preserve">Creates high BTU RNG injected into the pipeline infrastructure committed to fueling CNG and LNG vehicles. Landfill currently operating 35 CNG collection trucks, will be auditioning CNG tractor trailers to bring material from transfer stations to landfill. Have built fast-fill station at the landfill, which complements slow-fill station at the main yard. Is open to public.  ~1.5 mile pipeline to NG transmission line, Air Liquide membrane technology, delivers 970 Btu/scf gas. As of 2021, pushing about 1500-1600 dekatherms daily. </t>
  </si>
  <si>
    <t>https://energyneeringsolutions.com/projects/</t>
  </si>
  <si>
    <t>EDL, Air Liquide, Energyneering</t>
  </si>
  <si>
    <t>GFL Glacier Ridge Landfill</t>
  </si>
  <si>
    <t xml:space="preserve">Unknown </t>
  </si>
  <si>
    <t xml:space="preserve">GFL; Air Liquide </t>
  </si>
  <si>
    <t>Operational electric project at site, landfill wasnts to close it down and switch over to RNG.</t>
  </si>
  <si>
    <t>Cayuga RNG El-Vi Farms</t>
  </si>
  <si>
    <t>UGI Energy Services, Global Common Energy</t>
  </si>
  <si>
    <t>https://www.brightmark.com/work/the-helios-project/
https://www.bioenergy-news.com/news/brightmark-rng-delivers-first-gas-at-lawnhurst-ny-site/</t>
  </si>
  <si>
    <t>Operational Q4 2021</t>
  </si>
  <si>
    <t>Countryside Landfill</t>
  </si>
  <si>
    <t>Oakridge Dairy RNG</t>
  </si>
  <si>
    <t>REV LNG, South Jersey Industries</t>
  </si>
  <si>
    <t>CT</t>
  </si>
  <si>
    <t>Tolland</t>
  </si>
  <si>
    <t xml:space="preserve">Ground up project involving constrcution of digester and upgrading facility at Connecticut dairy. Virtual pipeline will connect project to SJI citygate. </t>
  </si>
  <si>
    <t>REV LNG</t>
  </si>
  <si>
    <t xml:space="preserve">Aria Moovers- Costa View (BP, Archaea) </t>
  </si>
  <si>
    <t xml:space="preserve">Aria RNG Moovers- Soares (BP, Archaea) </t>
  </si>
  <si>
    <t xml:space="preserve">Shell Downstream Galloway (High Plains Ponderosa Dairy) </t>
  </si>
  <si>
    <t>Shell is constructing a dairy manure to renewable natural gas (RNG) facility to be co-located at the High Plains Ponderosa Dairy in Plains, Kansas. </t>
  </si>
  <si>
    <t>https://www.hpj.com/bergmeier/large-dairy-does-its-part-to-help-meet-demand/article_8816a2f6-caa3-11e9-90f2-9f139e20a018.html
https://www.shell.us/about-us/projects-and-locations/shell-downstream-galloway--biomethane-facility--plains--kansas--.html#iframe=L2Zvcm1zL2VuX3VzX2Jpb21ldGhhbmVfcGxhaW5z</t>
  </si>
  <si>
    <t>Shell Energy</t>
  </si>
  <si>
    <t>Meade</t>
  </si>
  <si>
    <t>Bettencourt Dairy (Pico Energy)</t>
  </si>
  <si>
    <t xml:space="preserve">Q2 2022? </t>
  </si>
  <si>
    <t>Granger Waste Management, EDL</t>
  </si>
  <si>
    <t>The RNG will be used to generate electricity for local vehicle charging</t>
  </si>
  <si>
    <t>ELECTRICITY (For vehicle charging)</t>
  </si>
  <si>
    <r>
      <t xml:space="preserve">ELECTRICITY (For </t>
    </r>
    <r>
      <rPr>
        <b/>
        <i/>
        <sz val="11"/>
        <color rgb="FF000000"/>
        <rFont val="Calibri"/>
        <family val="2"/>
      </rPr>
      <t>local</t>
    </r>
    <r>
      <rPr>
        <b/>
        <sz val="11"/>
        <color rgb="FF000000"/>
        <rFont val="Calibri"/>
        <family val="2"/>
      </rPr>
      <t xml:space="preserve"> vehicle charging)</t>
    </r>
  </si>
  <si>
    <t>The RNG will be used to generate electricity for vehicle charging elsewhere</t>
  </si>
  <si>
    <t>Lackawanna</t>
  </si>
  <si>
    <t>Beaver</t>
  </si>
  <si>
    <t xml:space="preserve">Lyon </t>
  </si>
  <si>
    <t xml:space="preserve">Maas Energy </t>
  </si>
  <si>
    <t xml:space="preserve">Sheldon Kye Energy, Harvest Operating LLC. Funding coming from Biogas Corp out of North Carolina. Swinerton is providing Engineering, Procurement and Construction.  </t>
  </si>
  <si>
    <t>https://www.rdrnews.com/2021/06/12/dexter-biogas-plant-owner-aims-to-start-production-in-fall/
https://brinkmannconstructors.com/work/kolb-bioenergy
https://www.bioenergy-news.com/news/kolb-bioenergy-facility-receives-operating-permit/</t>
  </si>
  <si>
    <t>Pipeline (for vehicle, other)</t>
  </si>
  <si>
    <t>DJ South (Merced South Cluster)</t>
  </si>
  <si>
    <t>Double D (Aemetis Cluster)</t>
  </si>
  <si>
    <t xml:space="preserve">Decade Centralized (Hanford Lakeside Cluster) </t>
  </si>
  <si>
    <t>4K Dairy (Calgren Dairy Fuels Cluster)</t>
  </si>
  <si>
    <t>ABEC Lakeview Farms Dairy Digester (Kern Cluster)</t>
  </si>
  <si>
    <t>Ackerman Dairy (Aemetis Cluster)</t>
  </si>
  <si>
    <t>Aukeman Dairy (Tipton Dairy Biogas Cluster)</t>
  </si>
  <si>
    <t>Circle A Dairy Digester Fuel Pipeline Project (Calgren Dairy Fuels Cluster)</t>
  </si>
  <si>
    <t xml:space="preserve">Cornerstone (Calgren Dairy Fuels Cluster) </t>
  </si>
  <si>
    <t>Dykstra (Tipton Dairy Cluster)</t>
  </si>
  <si>
    <t>FM Jersey (Calgren Dairy Fuels Cluster)</t>
  </si>
  <si>
    <t>Double L (Hanford/Lakeside Cluster)</t>
  </si>
  <si>
    <t>Five H (Merced-South Cluster)</t>
  </si>
  <si>
    <t>Hoogendam (Merced South Cluster)</t>
  </si>
  <si>
    <t>K&amp;M Visser Dairy Digester Project (Calgren Dairy Fuels Cluster)</t>
  </si>
  <si>
    <t>Legacy Dairy Digester Project (Calgren Dairy Fuels Cluster)</t>
  </si>
  <si>
    <t>Little Rock (Calgren Dairy Fuels Cluster)</t>
  </si>
  <si>
    <t>Lone Oak 1 (Hanford-Lakeside Cluster)</t>
  </si>
  <si>
    <t>Meirinho Dairy (Merced-South Cluster)</t>
  </si>
  <si>
    <t>R Vander Eyk Dairy Digester Project (Calgren Dairy Fuels Cluster)</t>
  </si>
  <si>
    <t>Red Rock (Merced-South Cluster)</t>
  </si>
  <si>
    <t>River Ranch (Hanford-Lakeside Cluster)</t>
  </si>
  <si>
    <t>Riverview Dairy (Calgren Dairy Fuels Cluster)</t>
  </si>
  <si>
    <t xml:space="preserve">Rockshar (Merced-South Cluster) </t>
  </si>
  <si>
    <t>Sousa and Sousa (Calgren Dairy Fuels Cluster)</t>
  </si>
  <si>
    <t>Stillwater Ranch (Calgren Dairy Fuels Cluster)</t>
  </si>
  <si>
    <t>Udder Dairy (West Visalia Cluster)</t>
  </si>
  <si>
    <t>Vander Poel (Calgren Dairy Fuels Cluster)</t>
  </si>
  <si>
    <t>Vander Woude (Merced-South Cluster)</t>
  </si>
  <si>
    <t>Vista Verde (Merced-South Cluster)</t>
  </si>
  <si>
    <t>Bos Farms Dairy (South Tulare Cluster)</t>
  </si>
  <si>
    <t>Cloverdale Dairy (Hanford Cluster)</t>
  </si>
  <si>
    <t>Dixie Creek Dairy Digester Pipeline Project (Lakeside Cluster)</t>
  </si>
  <si>
    <t>Double J (North Visalia Cluster)</t>
  </si>
  <si>
    <t>El Monte (South Tulare Cluster)</t>
  </si>
  <si>
    <t>Hamstra Dairy (West Visalia Cluster)</t>
  </si>
  <si>
    <t>Hollandia Farms Dairy (Hanford Cluster)</t>
  </si>
  <si>
    <t>Horizon Jersey Dairy (South Tulare Cluster)</t>
  </si>
  <si>
    <t>Jacobus De Groot #2 (North Visalia Cluster)</t>
  </si>
  <si>
    <t>Maple Dairy (Kern Cluster)</t>
  </si>
  <si>
    <t>Mineral King (North Visalia Cluster)</t>
  </si>
  <si>
    <t>Moonlight Dairy (West Visalia Cluster)</t>
  </si>
  <si>
    <t>Rancho Teresita Dairy Biogas (South Tulare)</t>
  </si>
  <si>
    <t>Rancho Sierra Vista (North Visalia Cluster)</t>
  </si>
  <si>
    <t xml:space="preserve">Rob Van Grouw (North Visalia Cluster) </t>
  </si>
  <si>
    <t>Scheenstra Dairy Biogas (South Tulare Cluster)</t>
  </si>
  <si>
    <t>S&amp;S Dairy (Aemetis Central Cluster)</t>
  </si>
  <si>
    <t>T&amp;W Dairy (Kern Cluster)</t>
  </si>
  <si>
    <t>Trilogy Dairy (Kern Cluster)</t>
  </si>
  <si>
    <t>Valadao (Hanford Cluster)</t>
  </si>
  <si>
    <t>Western Sky (Kern Cluster)</t>
  </si>
  <si>
    <t>Wreden Ranch Dairy (Hanford Cluster)</t>
  </si>
  <si>
    <t>Mellema Dairy (North Visalia Cluster)</t>
  </si>
  <si>
    <t>BV Dairy (Kern Cluster)</t>
  </si>
  <si>
    <t>Belonave Dairy (Kern Cluster)</t>
  </si>
  <si>
    <t>Riverbend (South Tulare Cluster)</t>
  </si>
  <si>
    <t>Gregg, Rusk</t>
  </si>
  <si>
    <t>https://www.dynamicgrp.us/van-winkle-dairy
https://www.cleanenergyfuels.com/press-room/energy-and-bp-broaden-joint-venture-focused-on-renewable-natural-gas-project-development-aimed-at-delivering-lower-carbon-intensity-fuels</t>
  </si>
  <si>
    <t>https://www.dynamicgrp.us/victory-farms
https://www.cleanenergyfuels.com/press-room/energy-and-bp-broaden-joint-venture-focused-on-renewable-natural-gas-project-development-aimed-at-delivering-lower-carbon-intensity-fuels</t>
  </si>
  <si>
    <t>https://www.maasenergy.com/post/for-the-1st-time-in-the-dairy-digester-industry
https://www.maasenergy.com/digesters?pgid=kt3j0mox-still-water-ranch-dairy-digester-hanford-ca_9</t>
  </si>
  <si>
    <t>The Red Arrow Renewable Natural Gas (RNG) project in Hartford, Michigan will use anaerobic digestion to convert 200,000 gallons of manure per day from 5,750 dairy cows into about 128,000 MMBtu of RNG each year. The RNG produced at Red Arrow Dairy will be injected into the ANR Pipeline. Developed in partnership with Chevron, Red Arrow is expected to begin producing in the first half of 2022.</t>
  </si>
  <si>
    <t>Supposed to be Operational Q4 2021</t>
  </si>
  <si>
    <t>https://www.brightmark.com/renewable-natural-gas/projects/the-helios-project</t>
  </si>
  <si>
    <t>Summer 2020</t>
  </si>
  <si>
    <t xml:space="preserve">First project completed by Align Renewable Natural Gas. Producing from a network of 26 family swine farms. </t>
  </si>
  <si>
    <t>Brightmark Caballero</t>
  </si>
  <si>
    <t>Del Rio Dairy</t>
  </si>
  <si>
    <t>Clean Energy Fuels, TotalEnergies</t>
  </si>
  <si>
    <t>Palmer</t>
  </si>
  <si>
    <t>Construction started November 2021</t>
  </si>
  <si>
    <t>Montrose Environmental Solutions</t>
  </si>
  <si>
    <t>Brightmark Mill Valley Dairy</t>
  </si>
  <si>
    <t xml:space="preserve">Brightmark Full Circle Dairy </t>
  </si>
  <si>
    <t>https://www.linkedin.com/pulse/ozinga-energy-rng-ozinga-energy-llc/?trackingId=MN1kdes7Ruyh7Toqp4s1LA%3D%3D</t>
  </si>
  <si>
    <t xml:space="preserve">Multi-farm (2 farms) </t>
  </si>
  <si>
    <t xml:space="preserve">Upgrading plant is sized for 1,000 standard cubic feet per minute (SCFM) of raw biogas, and can be expanded to handle 1,500 SCFM in the future. The plant will also be able to output 650-1,000 SCFM of pure methane. Once completed, this project will be able to accommodate the biogas generated from the manure of 11,000 cows. Output estimates based on 825 SCFM mid-point between 650 and 1,000. </t>
  </si>
  <si>
    <t xml:space="preserve">Ozinga Energy is building, will operate, maintain and manage. Financing project with Equilibirum Capital. </t>
  </si>
  <si>
    <t>Construction began second half of 2021</t>
  </si>
  <si>
    <t>Shell is constructing a dairy manure to renewable natural gas (RNG) facility to be co-located at the Bettencourt Dairies in Wendell, Idaho.</t>
  </si>
  <si>
    <t>Construction to begin Q4 2021</t>
  </si>
  <si>
    <t>~350,000</t>
  </si>
  <si>
    <t xml:space="preserve">Project will build three digesters and upgrading facility. Will process approximaely 240,000 gallons of manure per day, produce 800 MMBTU/day. .  </t>
  </si>
  <si>
    <t>https://www.dynamicgrp.us/marshall-ridge-dairy
https://6a400ee4-752a-4641-9652-7172a9e18c9a.filesusr.com/ugd/18b9fc_b5e3341df7ce4c15ae48dcd589339852.pdf</t>
  </si>
  <si>
    <t>Marshall</t>
  </si>
  <si>
    <t xml:space="preserve">Wastewater treatment facility, doing codigestion with food waste from local manufacturers. Project shut down after numerous compliants, liquid and gas leakage. </t>
  </si>
  <si>
    <t xml:space="preserve">6 dairy farms with 20,000 to 30,000 cows total. GESS seems to have disappeared. </t>
  </si>
  <si>
    <t xml:space="preserve">Ground up project including construction of anaerobic digester and CHP system. Project expected to produce 85 million SCF RNG annually (~233,000 per day). </t>
  </si>
  <si>
    <t>CSTR x 2</t>
  </si>
  <si>
    <t>Project is part of joint venture between Clean Energy Fuels and TotalEnergies. 7500 cows will produce roughly 1.1MM GGE annually, which will go to CEF fueling stations. Project includes based on Montrose Environmental site: Digester piston-style feed pumps; two 1,300,000 gal anaerobic digesters that are 95 ft in diameter and 26 ft wall height operating at mesophilic (98F) conditions; digester heating system; screw press dewatering of digestate with fiber bedding return to the farm; covered 17.6 million gallon anaerobic lagoon; thiopaq biological desulfurizer with dry media backup; sulfatreat dry media H2S polishing; membrane gas upgrading system; final compression to 240 psi for pipeline injection</t>
  </si>
  <si>
    <t>~41 million gallons</t>
  </si>
  <si>
    <t>40,000-61,500</t>
  </si>
  <si>
    <t>2 farms, 1 plug flow, 1 CSTR</t>
  </si>
  <si>
    <t>Morrow Energy gas upgrading equipment</t>
  </si>
  <si>
    <t xml:space="preserve">Construction started Summer 2021 </t>
  </si>
  <si>
    <t xml:space="preserve">Dakota Plains Renewable Energy (DTE) </t>
  </si>
  <si>
    <t>http://www.fleetsandfuels.com/fuels/ngvs/2017/09/amp-americas-claims-far-lowest-ci-ever/
https://www.nwitimes.com/business/local/amp-americas-acquires-fair-oaks-farms-dairy-renewable-natural-gas-operation/article_cb99715c-fd1e-5369-8a59-85db309c8d31.html</t>
  </si>
  <si>
    <t>http://fortune.com/2016/01/27/fair-oaks-dairy-farm-manure-fuel/  
https://www.epa.gov/sites/production/files/2016-07/documents/fair_oaks_-_rev_7-18-16.pdf  
http://biomassmagazine.com/articles/16740/dvo-announces-commissioning-of-indiana-biogas-project 
https://www.nwitimes.com/business/local/amp-americas-acquires-fair-oaks-farms-dairy-renewable-natural-gas-operation/article_cb99715c-fd1e-5369-8a59-85db309c8d31.html
https://www.rewmag.com/article/anaergia-biogas-milk-fair-oaks/   
http://fortune.com/fair-oaks-dairy-manure-fuel-farming/  
http://energy-vision.org/wp-content/uploads/2013/09/Fair-Oaks-AMP-Profile.pdf  
http://www.csrwire.com/press_releases/40585-UPS-Dramatically-Increases-Use-of-Renewable-Natural-Gas
https://markets.businessinsider.com/news/stocks/38-000-indiana-dairy-cows-are-making-good-gas-while-reducing-our-carbon-footprint-1028809666#</t>
  </si>
  <si>
    <t>Sampson</t>
  </si>
  <si>
    <t>Convert SCFD raw landfill biogas to SCFD upgraded gas</t>
  </si>
  <si>
    <t>SCFD raw biogas * .55 = SCFD upgraded gas</t>
  </si>
  <si>
    <t>Description and Guide to the RNG (Renewable Natural Gas) Database</t>
  </si>
  <si>
    <r>
      <t>A.</t>
    </r>
    <r>
      <rPr>
        <b/>
        <sz val="7"/>
        <color indexed="63"/>
        <rFont val="Times New Roman"/>
        <family val="1"/>
      </rPr>
      <t xml:space="preserve">      </t>
    </r>
    <r>
      <rPr>
        <b/>
        <sz val="11"/>
        <color indexed="63"/>
        <rFont val="Calibri"/>
        <family val="2"/>
      </rPr>
      <t xml:space="preserve">PURPOSE </t>
    </r>
  </si>
  <si>
    <r>
      <t xml:space="preserve">The RNG database was developed to provide a comprehensive list of </t>
    </r>
    <r>
      <rPr>
        <b/>
        <sz val="11"/>
        <color indexed="63"/>
        <rFont val="Calibri"/>
        <family val="2"/>
      </rPr>
      <t>biogas projects that are upgrading gas for pipeline injection or use as vehicle fuel</t>
    </r>
    <r>
      <rPr>
        <sz val="11"/>
        <color indexed="63"/>
        <rFont val="Calibri"/>
        <family val="2"/>
      </rPr>
      <t xml:space="preserve"> (whether locally or at the end of a pipeline). </t>
    </r>
  </si>
  <si>
    <t>Because the size and scope of projects that do not have a “shovel in the ground” are often in flux, the database excludes planned projects.</t>
  </si>
  <si>
    <t>The database is an Excel.xls format spreadsheet and is compatible with any version of Misrosoft Excel. Although a handful of Canadian projects deliver RNG into the US, all projects listed in the database are in the United States.</t>
  </si>
  <si>
    <r>
      <t>B.</t>
    </r>
    <r>
      <rPr>
        <b/>
        <sz val="7"/>
        <color indexed="63"/>
        <rFont val="Times New Roman"/>
        <family val="1"/>
      </rPr>
      <t xml:space="preserve">      </t>
    </r>
    <r>
      <rPr>
        <b/>
        <sz val="11"/>
        <color indexed="63"/>
        <rFont val="Calibri"/>
        <family val="2"/>
      </rPr>
      <t xml:space="preserve">ACKNOWLEDGEMENTS </t>
    </r>
  </si>
  <si>
    <t>DE-AC02-06CH11357.</t>
  </si>
  <si>
    <t xml:space="preserve">This spreadsheet was prepared as an account of work sponsored by an agency of the United States Government. Neither the United States Government nor any agency thereof, nor UChicago Argonne, LLC, nor any of their employees or officers, </t>
  </si>
  <si>
    <t xml:space="preserve">makes any warranty, express or implied, or assumes any legal liability or responsibility for the accuracy, completeness, or usefulness of any information, apparatus, product, or process disclosed, or represents that its use would not infringe privately owned rights. </t>
  </si>
  <si>
    <t xml:space="preserve">Reference herein to any specific commercial product, process, or service by trade name, trademark, manufacturer, or otherwise, does not necessarily constitute or imply its endorsement, recommendation, or favoring by the United States Government </t>
  </si>
  <si>
    <t>or any agency thereof. The views and opinions of document authors expressed herein do not necessarily state or reflect those of the United States Government or any agency thereof, Argonne National Laboratory, or UChicago Argonne, LLC.</t>
  </si>
  <si>
    <r>
      <t>C.</t>
    </r>
    <r>
      <rPr>
        <sz val="7"/>
        <color indexed="63"/>
        <rFont val="Times New Roman"/>
        <family val="1"/>
      </rPr>
      <t xml:space="preserve">      </t>
    </r>
    <r>
      <rPr>
        <b/>
        <sz val="11"/>
        <color indexed="63"/>
        <rFont val="Calibri"/>
        <family val="2"/>
      </rPr>
      <t>STRUCTURE AND DEFINITION OF TERMS</t>
    </r>
  </si>
  <si>
    <t>This workook updates earlier work by Argonne and Energy Vision. It focuses on revising the operational status (operational, under construction, planned, cancelled/shut down) of previously documented projects.</t>
  </si>
  <si>
    <t xml:space="preserve">Updates are based primarily on press accounts and other public information. Outreach to project contacts was conducted primarily when other sources of information were unavailable or inconclusive. </t>
  </si>
  <si>
    <r>
      <t xml:space="preserve">Excluding this </t>
    </r>
    <r>
      <rPr>
        <b/>
        <sz val="11"/>
        <color indexed="63"/>
        <rFont val="Calibri"/>
        <family val="2"/>
      </rPr>
      <t xml:space="preserve">Overview </t>
    </r>
    <r>
      <rPr>
        <sz val="11"/>
        <color indexed="63"/>
        <rFont val="Calibri"/>
        <family val="2"/>
      </rPr>
      <t>tab, the workbook contains eight tabs: four tabs summarizing projects by feedstock, and four tabs providing summaries, definitions and other notes.</t>
    </r>
  </si>
  <si>
    <r>
      <t>Projects tabs:</t>
    </r>
    <r>
      <rPr>
        <sz val="11"/>
        <color indexed="63"/>
        <rFont val="Calibri"/>
        <family val="2"/>
      </rPr>
      <t xml:space="preserve"> List RNG projects by the feedstock from which they derive biogas.</t>
    </r>
  </si>
  <si>
    <r>
      <t>1.</t>
    </r>
    <r>
      <rPr>
        <sz val="7"/>
        <color rgb="FF222222"/>
        <rFont val="Times New Roman"/>
        <family val="1"/>
      </rPr>
      <t xml:space="preserve">       </t>
    </r>
    <r>
      <rPr>
        <b/>
        <sz val="11"/>
        <color rgb="FF222222"/>
        <rFont val="Calibri"/>
        <family val="2"/>
        <scheme val="minor"/>
      </rPr>
      <t>Food waste</t>
    </r>
    <r>
      <rPr>
        <sz val="11"/>
        <color rgb="FF222222"/>
        <rFont val="Calibri"/>
        <family val="2"/>
        <scheme val="minor"/>
      </rPr>
      <t>: Projects using commercial or post-consumer food waste as the main feedstock.</t>
    </r>
  </si>
  <si>
    <r>
      <t>2.</t>
    </r>
    <r>
      <rPr>
        <sz val="7"/>
        <color rgb="FF222222"/>
        <rFont val="Times New Roman"/>
        <family val="1"/>
      </rPr>
      <t xml:space="preserve">       </t>
    </r>
    <r>
      <rPr>
        <b/>
        <sz val="11"/>
        <color rgb="FF222222"/>
        <rFont val="Calibri"/>
        <family val="2"/>
        <scheme val="minor"/>
      </rPr>
      <t xml:space="preserve">Landfills: </t>
    </r>
    <r>
      <rPr>
        <sz val="11"/>
        <color rgb="FF222222"/>
        <rFont val="Calibri"/>
        <family val="2"/>
        <scheme val="minor"/>
      </rPr>
      <t>Projects collecting and upgrading gas from existing landfills.</t>
    </r>
  </si>
  <si>
    <r>
      <t>3.</t>
    </r>
    <r>
      <rPr>
        <sz val="7"/>
        <color rgb="FF222222"/>
        <rFont val="Times New Roman"/>
        <family val="1"/>
      </rPr>
      <t xml:space="preserve">       </t>
    </r>
    <r>
      <rPr>
        <b/>
        <sz val="11"/>
        <color rgb="FF222222"/>
        <rFont val="Calibri"/>
        <family val="2"/>
        <scheme val="minor"/>
      </rPr>
      <t>Livestock and Agricultural</t>
    </r>
    <r>
      <rPr>
        <sz val="11"/>
        <color rgb="FF222222"/>
        <rFont val="Calibri"/>
        <family val="2"/>
        <scheme val="minor"/>
      </rPr>
      <t xml:space="preserve">: Projects primarily using animal manure, with some that are co-digesting food or other organic waste. Also includes a small number of projects based on crop silage. This tab includes some projects at agricultural processing facilities, such as corn and meat processing plants. </t>
    </r>
  </si>
  <si>
    <r>
      <t>4.</t>
    </r>
    <r>
      <rPr>
        <sz val="7"/>
        <color rgb="FF222222"/>
        <rFont val="Times New Roman"/>
        <family val="1"/>
      </rPr>
      <t xml:space="preserve">       </t>
    </r>
    <r>
      <rPr>
        <b/>
        <sz val="11"/>
        <color rgb="FF222222"/>
        <rFont val="Calibri"/>
        <family val="2"/>
        <scheme val="minor"/>
      </rPr>
      <t>Water Resource Recovery Facilities (WRRFs):</t>
    </r>
    <r>
      <rPr>
        <sz val="11"/>
        <color rgb="FF222222"/>
        <rFont val="Calibri"/>
        <family val="2"/>
        <scheme val="minor"/>
      </rPr>
      <t xml:space="preserve"> Projects collecting gas from anaerobic digesters at wastewater or water resource recovery facilities and upgrading it to pipeline/vehicle grade.</t>
    </r>
  </si>
  <si>
    <r>
      <rPr>
        <b/>
        <i/>
        <sz val="11"/>
        <color indexed="63"/>
        <rFont val="Calibri"/>
        <family val="2"/>
      </rPr>
      <t>Totals Tab</t>
    </r>
    <r>
      <rPr>
        <sz val="11"/>
        <color indexed="63"/>
        <rFont val="Calibri"/>
        <family val="2"/>
      </rPr>
      <t xml:space="preserve">: Summarizes all projects by feedstock and status – including projects still under development (planned) – and totals for annual RNG production where available. </t>
    </r>
    <r>
      <rPr>
        <b/>
        <i/>
        <sz val="11"/>
        <color indexed="63"/>
        <rFont val="Calibri"/>
        <family val="2"/>
      </rPr>
      <t/>
    </r>
  </si>
  <si>
    <r>
      <rPr>
        <b/>
        <i/>
        <sz val="11"/>
        <color indexed="63"/>
        <rFont val="Calibri"/>
        <family val="2"/>
      </rPr>
      <t>List values tab:</t>
    </r>
    <r>
      <rPr>
        <sz val="11"/>
        <color indexed="63"/>
        <rFont val="Calibri"/>
        <family val="2"/>
      </rPr>
      <t xml:space="preserve"> Provides explanations of the values used in picklists in the project sheets.</t>
    </r>
  </si>
  <si>
    <r>
      <rPr>
        <b/>
        <i/>
        <sz val="11"/>
        <color indexed="63"/>
        <rFont val="Calibri"/>
        <family val="2"/>
      </rPr>
      <t xml:space="preserve">Reference Notes tab: </t>
    </r>
    <r>
      <rPr>
        <sz val="11"/>
        <color indexed="63"/>
        <rFont val="Calibri"/>
        <family val="2"/>
      </rPr>
      <t xml:space="preserve">Provides definitions of abbreviations and acronyms, conversion factors and formulae used within the projects sheets, and links to databases referenced within the projects sheets. </t>
    </r>
  </si>
  <si>
    <r>
      <t>D.</t>
    </r>
    <r>
      <rPr>
        <b/>
        <sz val="7"/>
        <color indexed="63"/>
        <rFont val="Times New Roman"/>
        <family val="1"/>
      </rPr>
      <t xml:space="preserve">      </t>
    </r>
    <r>
      <rPr>
        <b/>
        <sz val="11"/>
        <color indexed="63"/>
        <rFont val="Calibri"/>
        <family val="2"/>
      </rPr>
      <t xml:space="preserve">ABOUT THE PROJECTS TABS: </t>
    </r>
  </si>
  <si>
    <t>In each of the projects sheets, projects are organized by the following status categories:  (Please see List Values tab for more about Status.)</t>
  </si>
  <si>
    <t>•     Operational</t>
  </si>
  <si>
    <t>•     Under Construction</t>
  </si>
  <si>
    <t xml:space="preserve">•     Suspended/In Limbo (not actually cancelled)  </t>
  </si>
  <si>
    <t>•     Cancelled/Shut Down</t>
  </si>
  <si>
    <t xml:space="preserve">•     Cancelled/Shut Down with Future Potential </t>
  </si>
  <si>
    <r>
      <t xml:space="preserve">Key and comments: </t>
    </r>
    <r>
      <rPr>
        <sz val="11"/>
        <color indexed="63"/>
        <rFont val="Calibri"/>
        <family val="2"/>
      </rPr>
      <t xml:space="preserve">Each project tab has a key at the top left of the page explaining the color coding in the sheet, as well as some additional comments. </t>
    </r>
  </si>
  <si>
    <r>
      <t>E.</t>
    </r>
    <r>
      <rPr>
        <b/>
        <sz val="7"/>
        <color indexed="63"/>
        <rFont val="Times New Roman"/>
        <family val="1"/>
      </rPr>
      <t xml:space="preserve">       </t>
    </r>
    <r>
      <rPr>
        <b/>
        <sz val="11"/>
        <color indexed="63"/>
        <rFont val="Calibri"/>
        <family val="2"/>
      </rPr>
      <t xml:space="preserve">DATA COLLECTION </t>
    </r>
  </si>
  <si>
    <t xml:space="preserve">Information was collected through general web research encompassing company, municipal and academic websites, trade journals, conference materials and press reports. </t>
  </si>
  <si>
    <t xml:space="preserve">Other sources included the US EPA Landfill Methane Outreach Program (LMOP) database (for landfill projects); the US EPA AgSTAR database (for farm-based projects); </t>
  </si>
  <si>
    <t xml:space="preserve">and the EPA Part 80 Fuels Program lists (showing organizations and projects that are registered under the Renewable Fuel Standard).  </t>
  </si>
  <si>
    <t>(excluding shut down, canceled, suspended)</t>
  </si>
  <si>
    <t xml:space="preserve">MMBTU,  </t>
  </si>
  <si>
    <t xml:space="preserve">GGEs  or </t>
  </si>
  <si>
    <t>DGEs, up</t>
  </si>
  <si>
    <r>
      <t>·</t>
    </r>
    <r>
      <rPr>
        <sz val="7"/>
        <color rgb="FF222222"/>
        <rFont val="Times New Roman"/>
        <family val="1"/>
      </rPr>
      <t xml:space="preserve">         </t>
    </r>
    <r>
      <rPr>
        <b/>
        <sz val="11"/>
        <color rgb="FF222222"/>
        <rFont val="Calibri"/>
        <family val="2"/>
        <scheme val="minor"/>
      </rPr>
      <t>Total under construction production:</t>
    </r>
  </si>
  <si>
    <t xml:space="preserve">   G.     CITATION AND CONTACT INFORMATION</t>
  </si>
  <si>
    <t>The spreadsheet may be cited as follows:</t>
  </si>
  <si>
    <t>For further information, please contact:</t>
  </si>
  <si>
    <t>Marianne Mintz</t>
  </si>
  <si>
    <t>mmintz@anl.gov</t>
  </si>
  <si>
    <t>or</t>
  </si>
  <si>
    <t>REV LNG Double Eagle Dairy</t>
  </si>
  <si>
    <t>REV LNG Roto-Z Dairy</t>
  </si>
  <si>
    <t>REV LNG Goma Dairy</t>
  </si>
  <si>
    <t>REV LNG Z-Star Dairy</t>
  </si>
  <si>
    <t>Project broke ground December 2021</t>
  </si>
  <si>
    <t>Gratiot</t>
  </si>
  <si>
    <t>Sanilac</t>
  </si>
  <si>
    <t>Huron</t>
  </si>
  <si>
    <t>2020?</t>
  </si>
  <si>
    <t>EnTech Solutions; Northern Biogas LLC</t>
  </si>
  <si>
    <t xml:space="preserve">Manure lagoon </t>
  </si>
  <si>
    <t>Via solar array that is part of microgrid project</t>
  </si>
  <si>
    <t>4000 from 3 area farms</t>
  </si>
  <si>
    <t xml:space="preserve">https://microgridknowledge.com/entech-microgrid-renewable-natural-gas/
https://energybyentech.com/project/middleton-digester/
https://microgridknowledge.com/entech-microgrid-renewable-natural-gas/
</t>
  </si>
  <si>
    <t>Entech Solutions Sustainable Fuels-- Middleton Site</t>
  </si>
  <si>
    <t xml:space="preserve">3 digesters and RNG system are part of a microgrid project including solar, which helps make whole operation carbon neutral. Gas is exported to Califronia for transportation market. Participating farms include Blue Star Dairy Middleton, Hensen Brothers Farm and Ziegler Dairy. According to Entech, project is pushing 350 SCFM raw gas. </t>
  </si>
  <si>
    <t xml:space="preserve">Steuben </t>
  </si>
  <si>
    <t>Waga Energy Steuben County Landfill</t>
  </si>
  <si>
    <t xml:space="preserve">Landfill, Steuben County; upgrading system, Waga Energy </t>
  </si>
  <si>
    <t xml:space="preserve">Waga Energy </t>
  </si>
  <si>
    <t xml:space="preserve">DTE Vantage Bluebird (Sunnyside and Aurora Ridge dairies) </t>
  </si>
  <si>
    <t>DTE Vantage</t>
  </si>
  <si>
    <t xml:space="preserve">Gevo NW Iowa RNG </t>
  </si>
  <si>
    <t>http://www.biofuelsjournal.com/article/156645/verbio-north-america-to-purchase-dupont-industrial-biosciences-cellulosic-ethanol-facility-in-nevada-ia 
http://www.ethanolproducer.com/articles/15885/burgeoning-biomethane 
https://www.verbio.us/project/nevada-biorefinery/
https://www.amestrib.com/story/news/2021/12/10/verbio-nevada-biorefinery-starts-renewable-natural-gas-production/6435842001/</t>
  </si>
  <si>
    <t xml:space="preserve">Divert Longview </t>
  </si>
  <si>
    <t xml:space="preserve">Divert, Inc. </t>
  </si>
  <si>
    <t>Cowlitz</t>
  </si>
  <si>
    <t>https://www.deq.state.mi.us/aps/downloads/SRN/N5997/N5997_SAR_20200819.pdf
https://www.youtube.com/watch?v=0ramNSn5SjQ
https://www.biofuelsdigest.com/bdigest/2022/02/27/lansing-michigans-first-waste-to-energy-facility-opens/</t>
  </si>
  <si>
    <t xml:space="preserve">October 2021; commercial operations announced March 2022. </t>
  </si>
  <si>
    <t>https://www.businesswire.com/news/home/20200917005237/en/New-Ohio-based-Renewable-Fuel-Project-Aims-to-Capture-the-Equivalent-of-Nearly-50K-Tons-of-Carbon-to-Displace-Diesel-and-Fuel-725-Biofuel-Trucks https://www.nsenergybusiness.com/news/fortistar-rumpke-to-begin-noble-road-landfill-rng-project-in-ohio/
https://www.businesswire.com/news/home/20220303005156/en/OPAL-Fuels-Commences-Commercial-Operation-of-Noble-Road-Renewable-Natural-Gas-Facility-at-Rumpke-Waste-Recycling-Landfill-in-Shiloh-Ohio</t>
  </si>
  <si>
    <t>WY</t>
  </si>
  <si>
    <t xml:space="preserve">Q2 2022 </t>
  </si>
  <si>
    <t xml:space="preserve">Hitachi Zosen Inova USA, WTE LLC. </t>
  </si>
  <si>
    <t>https://www.oregon.gov/energy/Data-and-Reports/Documents/2018-RNG-Inventory-Report.pdf
http://biomassmagazine.com/articles/16287/greenlane-secures-biogas-upgrading-contract-for-oregon-project
http://laserfiche.springfield-or.gov/weblink/0/edoc/3960673/11-08-19%20Agenda%20Packet.pdf
https://nbc16.com/news/local/new-facilities-for-creating-renewable-natural-gas-celebrate-with-ribbon-cutting</t>
  </si>
  <si>
    <t>http://biomassmagazine.com/articles/17519/anaergia-begins-construction-of-california-rng-project#
http://biomassmagazine.com/articles/18094/southwest-gas-to-source-rng-from-5-projects
https://www.naturalgasintel.com/southwest-gas-readies-five-rng-projects/
https://www.anaergia.com/anaergia-begins-construction-of-california-renewable-natural-gas-project-located-in-opportunity-zone
https://www.businesswire.com/news/home/20220121005214/en/Anaergia-Commissions-Facility-in-California-that-Creates-Renewable-Natural-Gas-from-Wastewater-and-Food-Waste
https://www.vvwra.com/edu_resources/wep.htm</t>
  </si>
  <si>
    <t>https://biomassmagazine.com/articles/18837/hziu-announces-contract-for-wyoming-biogas-project
https://bioenergyinternational.com/hziu-to-supply-biogas-upgrading-plant-to-wyoming/</t>
  </si>
  <si>
    <t>Laramie</t>
  </si>
  <si>
    <t>85,000 tons per year</t>
  </si>
  <si>
    <t xml:space="preserve">American Organic Energy </t>
  </si>
  <si>
    <t>180,000 tons per year</t>
  </si>
  <si>
    <t>~500</t>
  </si>
  <si>
    <t>Food waste, green waste, FOG</t>
  </si>
  <si>
    <t>Suffolk</t>
  </si>
  <si>
    <t xml:space="preserve">Groundbreaking April 2022. </t>
  </si>
  <si>
    <t xml:space="preserve">Western Virginia Water Authority, Roanoke Gas Company </t>
  </si>
  <si>
    <t>Roanoke Regional Water Pollution Control Plant</t>
  </si>
  <si>
    <t>37 MGD average flow</t>
  </si>
  <si>
    <t>55 MGD</t>
  </si>
  <si>
    <t xml:space="preserve">HoST, SJI Renewable Energy Ventures, REV LNG. </t>
  </si>
  <si>
    <t>http://biomassmagazine.com/articles/15849/aemetis-closes-on-dairy-digester-rng-equity-investment http://www.aemetis.com/aemetis-biogas-project-awarded-4-1-million-grant-for-biogas-upgrading/
http://www.aemetis.com/aemetis-closes-non-dilutive-30-million-equity-investment-to-build-biomethane-pipelines-and-dairy-digesters-to-produce-below-zero-carbon-renewable-natural-gas-rng/https://www.cdfa.ca.gov/oefi/ddrdp/docs/DDRDP_Report_March2021.pdf 
https://www.cdfa.ca.gov/oefi/DDRDP/docs/DDRDP_Project_Level_Data.pdf
https://www.cdfa.ca.gov/oefi/DDRDP/docs/DDRDP_Project_Level_Data.pdf
https://biomassmagazine.com/articles/19051/aemetis-completes-third-dairy-digester-expands-biogas-production</t>
  </si>
  <si>
    <t>https://www.nhpr.org/post/bethlehem-advances-liberty-utilities-landfill-gas-capture-proposal#stream/0   
https://vermontbiz.com/news/2021/may/20/casella-breaks-ground-renewable-natural-gas-processing-facility-nh  
https://www.nhpr.org/post/bethlehem-advances-liberty-utilities-landfill-gas-capture-proposal#stream/0
https://rudarpa.com/</t>
  </si>
  <si>
    <t xml:space="preserve">https://morrowrenewables.com/portfolio/
https://talkbusiness.net/2021/04/fort-smith-board-approves-cng-fueling-station-plans-for-conversion-of-sanitation-trucks/
</t>
  </si>
  <si>
    <t xml:space="preserve">https://www.wm.com/documents/pdfs-for-services-section/Case-studies-municipal/PSS_CsStdyAltamLndfllREVISE_rFjjg.pdfhttp://www.energy.ca.gov/2014publications/CEC-500-2014-054/CEC-500-2014-054.pdf  
http://altamontlandfill.wm.com/index.jsp   
http://energy-vision.org/case-studies/WM-Altamont-Profile.pdf   
https://sustainability.wm.com/downloads/WM_2020_SR_Executive_Summary.pdf
</t>
  </si>
  <si>
    <t xml:space="preserve">http://www.renewableenergyworld.com/articles/2007/09/atlantas-live-oak-landfill-to-become-source-of-renewable-energy-50025.html
http://jacobydevelopment.com/energy17.html
https://industry.airliquide.us/air-liquide-acquires-renewable-natural-gas-plant-jacoby-energy
https://www.energy.gov/sites/prod/files/2014/03/f10/june2012_biogas_workshop_anderson.pdf
</t>
  </si>
  <si>
    <t xml:space="preserve">https://www.telegraphherald.com/news/tri-state/article_1894f2e2-0523-5340-9caf-9ed22979c8cd.html
http://landfillgroup.com/projects/dubuque-gas-producers-llc/
</t>
  </si>
  <si>
    <t>https://www.wmsolutions.com/locations/details/id/31  
https://waste-management-world.com/a/waste-management-opens-19m-landfill-gas-grid-injection-facility-in-illinois  
https://sustainability.wm.com/downloads/WM_2020_SR_Executive_Summary.pdf</t>
  </si>
  <si>
    <t xml:space="preserve">https://www.globenewswire.com/news-release/2019/09/05/1911345/0/en/SCS-Energy-Breaks-Ground-on-Indy-Landfill-Gas-to-RNG-Plant.html
https://www.wishtv.com/news/inside-indiana-business/ribbon-cutting-set-for-indy-rng-plant/
https://www.wfyi.org/news/articles/construction-complete-at-indy-high-btu-states-largest-renewable-natural-gas-plant
https://www.environmentalleader.com/2020/03/indiana-plant-to-convert-methane-into-8-million-gallons-of-renewable-natural-gas-each-year/
https://edlenergy.com/project/indy-high-btu-renewable-natural-gas-plant/
</t>
  </si>
  <si>
    <t>http://www.biomassmagazine.com/articles/12345/hoosier-energy-to-build-fourth-landfill-gas-to-energy-plant
https://www.waste360.com/gas-energy/waste-energy-firms-partner-indiana-landfill-gas-project</t>
  </si>
  <si>
    <t>http://www2.ljworld.com/news/2016/sep/28/hamm-landfill-construct-methane-gas-plant-and-pipe/   https://www.epa.gov/sites/default/files/2019-10/documents/fenton_rngworkshop_2019.pdf https://www.atmosenergy.com/esg/environment/renewable-natural-gas  https://www.epa.gov/sites/default/files/2018-03/documents/2_william_brinker_lmop.pdf
https://assets.lawrenceks.org/assets/agendas/cc/2016/09-20-16/pw_rpp_description.pdf
http://www2.ljworld.com/news/2017/sep/26/editorial-methane-plant-positive/?opinion
http://www.rngcoalition.com/news/2017/9/22/enerdyne-power-systems-commissions-rng-project-in-lawrence-ks</t>
  </si>
  <si>
    <t>http://www.wm.com/location/missouri/deffenbaugh/index.jsp   
https://www.wastetodaymagazine.com/article/waste-management-johnson-county-landfill/</t>
  </si>
  <si>
    <t xml:space="preserve">http://www.dailyindependent.com/news/clean-energy-project-set-for-big-run-landfill/article_429588e2-29ca-11e5-8076-e7af04fb1cee.html https://www.dailyindependent.com/news/big-run-landfill-to-provide-company-with-energy-source/article_1e4a781c-1d9c-11e8-aabe-1bf8f8127988.html  
https://www.waste360.com/waste-energy/archaea-and-rumpke-building-more-landfill-gas-energy-projects  
https://www.naturalgasintel.com/aria-archaea-merger-looks-to-create-largest-commercial-rng-platform-in-u-s//
</t>
  </si>
  <si>
    <t>https://www.wmsolutions.com/locations/details/id/145   
http://www.courier-journal.com/story/tech/science/environment/2017/02/09/louisville-landfill-capture-sell-its-methane/97656292/  
https://www.bizjournals.com/louisville/news/2018/06/05/waste-management-makes-a-power-play-with-30.html</t>
  </si>
  <si>
    <t>http://www.countyoffice.org/welsh-landfill-welsh-la-1b7/ 
https://wastebits.com/locator/location/jefferson-davis-parish-sanitary-landfill</t>
  </si>
  <si>
    <t xml:space="preserve">https://www.shreveportla.gov/487/Landfills   </t>
  </si>
  <si>
    <t>http://www.rngcoalition.com/rng-industry-celebrates-new-2019-production-facilities-to-open-rng-2019-conference
https://www.wasteconnections.com/timberlane-landfill/</t>
  </si>
  <si>
    <t>http://biocng.us/wp-content/uploads/2015/06/Riverview-Fact-Sheet-2015.pdf
https://riverviewlandpreserve.com/
https://riverviewlandpreserve.com/2020/05/27/renewable-natural-gas-produced-daily-at-riverview-land-preserve/</t>
  </si>
  <si>
    <t>http://www.michigan.gov/deq/0,4561,7-135-3312_4123-197993--,00.html
https://www.waste360.com/landfill-gas-energy-lfgte/utility-converting-landfill-gas-natural-gas-detroit
https://investors.cleanenergyfuels.com/news-releases/news-release-details/republic-services-and-clean-energy-sign-renewable-biomethane</t>
  </si>
  <si>
    <t xml:space="preserve">http://biomassmagazine.com/articles/14873/rng-coalition-celebrates-new-projects-launches-video
https://www.ameresco.com/amerescos-woodland-meadows-landfill-state-of-the-art-gas-to-energy-facility-now-open/
</t>
  </si>
  <si>
    <t xml:space="preserve">https://dtevantage.com/project/westside-gas-producers/ 
https://legislature.mi.gov/documents/2009-2010/CommitteeDocuments/Senate/ Energy%20Policy%20and%20Public%20Utilities/Testimony/2009-SCT-ENERGY-10-21-1-01.PDF 
https://www.egle.state.mi.us/aps/downloads/ROP/pub_ntce/N1216/N1216%20Staff%20Report%2003-24-17.pdf
</t>
  </si>
  <si>
    <t xml:space="preserve">http://www.djournal.com/news/business/walnut-to-get-air-liquide-biogas-purification-plant/article_4c84637e-f8e3-5a19-acd4-67977d08f1cb.html   
https://www.airliquide.com/group/press-releases-news/2018-04-19/air-liquide-doubles-its-biomethane-production-capacity
https://www.waste360.com/gas-energy/air-liquide-build-its-first-landfill-biogas-purification-plant-us
https://ngtnews.com/air-liquide-cuts-ribbon-on-landfill-gas-to-rng-plant-in-mississippi
</t>
  </si>
  <si>
    <t xml:space="preserve">http://billingsgazette.com/news/local/billings-aims-to-boost-landfill-gas-collection-buy-trucks-run/article_13593e4f-9441-50a1-8408-15989ff34209.html
https://billingsgazette.com/news/local/government-and-politics/capturing-methane-at-landfill-a-prosperous-venture-for-billings/article_b0910eb6-3676-5b9e-8c58-4bfdc6b82111.html
http://lfgtech.com/rng/
</t>
  </si>
  <si>
    <t xml:space="preserve">http://journalstar.com/news/state-and-regional/nebraska/butler-county-board-hears-support-opposition-to-landfill-expansion/article_aadc543f-34de-57e4-a675-bfce43cb16e0.html  
http://biomassmagazine.com/articles/14873/rng-coalition-celebrates-new-projects-launches-video  
http://butlercountylandfill.com/Resources_Local/files/ButlerLandfillGasPDF.pdf
https://www.dmt-cgs.com/project/butler-county-landfill-rng/
https://www.constellationenergy.com/newsroom/2019/constellation-to-distribute-renewable-natural-gas-produced-from-.html
</t>
  </si>
  <si>
    <t xml:space="preserve">http://www.sierraclub.org/sites/www.sierraclub.org/files/sce-authors/u2978/Sierra%20Club%27s%20%20Omaha%20Metropolitan%20Area%20SWM%20Study%20%20March%2013%20%202017.pdf   
https://www.blackhillsenergy.com/services/natural-gas-services/renewable-natural-gas/our-renewable-natural-gas-projects
https://www.blackhillsenergy.com/node/1223
https://www.omaha.com/money/company-will-collect-gases-from-sarpy-landfill-to-turn-into/article_05ad4cf9-d8e2-542c-8336-841189cfbc6a.html
https://www.csrwire.com/press_releases/41841-expediting-development-supply-of-renewable-natural-gas
</t>
  </si>
  <si>
    <t xml:space="preserve">http://www.omaha.com/news/metro/company-wants-to-refine-sell-methane-gas-at-old-state/article_4759dc06-602b-5aa1-84ea-878cd2bdd7ff.html </t>
  </si>
  <si>
    <t xml:space="preserve">https://senecameadows.com/gas-to-energy/
https://www.naturalcapitalpartners.com/projects/project/seneca-meadows-landfill-gas 
</t>
  </si>
  <si>
    <t xml:space="preserve">https://www.epa.gov/sites/default/files/2018-06/documents/rngwebinar_20180614.pdf
http://www.dispatch.com/article/20150422/news/304229729
</t>
  </si>
  <si>
    <t xml:space="preserve">https://dtevantage.com/project/pinnacle-gas-producers/ </t>
  </si>
  <si>
    <t>http://www.waste360.com/operations/breaking-down-gtl-project-oklahoma-landfill-0  
https://applications.deq.ok.gov/permitspublic/storedpermits/5655.pdf</t>
  </si>
  <si>
    <t>http://oklahomacitylandfill.com/  
http://biomassmagazine.com/articles/14873/rng-coalition-celebrates-new-projects-launches-video  
https://www.epa.gov/sites/default/files/2019-12/documents/landfillgasenergyproject_chaseedmiston.pdf    
http://www.locicontrols.com/perch/resources/fieldnote10increasesmmbtuofsales061319.pdf</t>
  </si>
  <si>
    <t xml:space="preserve">https://applications.deq.ok.gov/permitspublic/storedpermits/4199.pdf   
https://www.oklahoman.com/article/5609233/oklahoma-city-landfill-waste-used-to-power-cars-and-trucks 
https://www.esisolutions.com/case-studies
</t>
  </si>
  <si>
    <t xml:space="preserve">https://www.countyoffice.org/kersey-landfill-kersey-pa-2db/
https://frs-public.epa.gov/ords/ frs_public2/fii_query_detail.disp_program_facility?p_registry_id=110001060618
https://kupperengineering.com/project/greentree-landfill-rng-facility/
https://www.waste360.com/mergers-and-acquisitions/fortistar-acquires-two-rng-facilities-pennsylvania
</t>
  </si>
  <si>
    <t xml:space="preserve">https://www.waste360.com/mergers-and-acquisitions/fortistar-acquires-two-rng-facilities-pennsylvania
https://www.countyoffice.org/imperial-landfill-imperial-pa-2a6/ https://www.businesswire.com/news/home/20190402005372/en/Fortistar-Acquires-Two-Renewable-Natural-Gas-RNG-Facilities-in-Pennsylvania
</t>
  </si>
  <si>
    <t>https://www.wmsolutions.com/locations/details/id/219  http://www.dep.pa.gov/Business/Land/Waste/SolidWaste/MunicipalWaste/MunicipalWastePermitting/Pages/MW-Landfills-and-Resource-Recovery-Facilities.aspx</t>
  </si>
  <si>
    <t>https://www.wmsolutions.com/locations/details/id/220
https://www.dep.pa.gov/Business/Land/Waste/SolidWaste/MunicipalWaste/MunicipalWastePermitting/Pages/MW-Landfills-and-Resource-Recovery-Facilities.aspx
https://www.epa.gov/sites/default/files/2019-12/documents/monroevillelandfill_danbonk.pdf</t>
  </si>
  <si>
    <t xml:space="preserve">http://www.senecalandfill.com/  
http://www.senecalandfill.com/about-seneca-landfill  
http://www.dep.pa.gov/Business/Land/Waste/SolidWaste/MunicipalWaste/Landfill-Methane-Outreach-Program/Pages/PA-Landfill-Methane-Projects.aspx
</t>
  </si>
  <si>
    <t xml:space="preserve">http://www.dep.pa.gov/Business/Land/Waste/SolidWaste/MunicipalWaste/Landfill-Methane-Outreach-Program/Pages/PA-Landfill-Methane-Projects.aspx  
https://www.ccpa.net/DocumentCenter/View/17513 
http://montaukenergy.com/operations/johnstown-regional-energy-shade/
</t>
  </si>
  <si>
    <t>https://www.dep.pa.gov/Business/Land/Waste/SolidWaste/MunicipalWaste/Landfill-Methane-Outreach-Program/Pages/PA-Landfill-Methane-Projects.aspx
https://www.facebook.com/Waste-Management-Southern-Alleghenies-Landfill-1609478579063642/
https://gflenv.com/our-facilities/landfills/</t>
  </si>
  <si>
    <t>http://www.buzzfile.com/business/Montauk-Energy-Capital-412-823-6296   https://www.wmsolutions.com/locations/details/id/224  http://montaukenergy.com/operations/valley/</t>
  </si>
  <si>
    <t xml:space="preserve">https://pittsburgh.cbslocal.com/2020/10/22/trash-to-gas-its-happening-in-westmoreland-county/
http://www.wwllcgroup.com/ 
http://www.westmorelandslf.com/
https://usgasvehicles.com/en/westmoreland-sanitary-landfill-to-produce-vehicle-fuel-from-renewable-sources/
</t>
  </si>
  <si>
    <t xml:space="preserve">http://www.timesnews.net/News/2008/09/25/Carters-Valley-landfill-in-line-for-16-million-in-upgrades   http://archive.knoxnews.com/business/tengasco-signs-5-year-gas-contract-with-houston-company-ep-409627085-359229161.html/  
http://biomassmagazine.com/articles/16142/us-gain-brings-sixth-rng-development-project-online
</t>
  </si>
  <si>
    <t xml:space="preserve">https://www.wasteconnections.com/meadowbranch-landfill/
https://www.waste360.com/waste-energy/southern-company-gas-assumes-control-meadow-branch-renewable-natural-gas-facility
</t>
  </si>
  <si>
    <t xml:space="preserve">https://www.cleanenergyfuels.com/release-archive/republic-services-clean-energy-sign-renewable-biomethane-recovery-agreement-for-tennessee-landfill/  
https://comptroller.tn.gov/content/dam/cot/energy-policy-council/documents/ SEPC_2020_Assessment_Final.pdf
</t>
  </si>
  <si>
    <t xml:space="preserve">https://www.dailymemphian.com/article/1270/Renewable-gas-firm-files-33M-permit-for-facility-near-Memphis-landfill  
https://www.wastetodaymagazine.com/article/republic-services-aria-energy-bp-landfill-gas-rng/
https://www.biofuelsdigest.com/bdigest/2020/08/20/tennessee-landfill-gas-rng-project-commissioned-by-bp-and-partners/
https://bioenergyinternational.com/republic-services-aria-energy-and-bp-partner-on-new-landfill-gas-to-rng-project/
</t>
  </si>
  <si>
    <t xml:space="preserve">http://montaukenergy.com/operations/atascocity-rng/ 
https://docs.google.com/spreadsheets/d/1CpLTd1Yya4qQzUpWYtKMUGW1BlMmn-Jrj3uErd8lJ7A/edit?usp=sharing
http://montaukenergy.com/wp-content/uploads/2019/08/1-Chief-Executive-Officers-Report.pdf
</t>
  </si>
  <si>
    <t xml:space="preserve">http://montaukenergy.com/operations/coastal-plains-rng/ https://www.biofermenergy.com/milestones 
https://www.wmsolutions.com/pdf-tracker/index/id/33/campaignType/28   
https://ir.montaukrenewables.com/static-files/b75685aa-813b-40fc-b02d-97f620fb2451
</t>
  </si>
  <si>
    <t xml:space="preserve">https://www.epa.gov/sites/production/files/2016-05/documents/10ftbend.pdf   https://dtevantage.com/project/fort-bend-power-producers-llc/
https://www.wastetodaymagazine.com/article/dte-biomass-energy-acquires-texas-landfill-to-gas-projects/
https://dailyenergyinsider.com/featured/5481-acquisition-texas-renewable-gas-facilities-dte-biomass-looks-expand-landfill-operations/
</t>
  </si>
  <si>
    <t xml:space="preserve">http://montaukenergy.com/operations/galveston/  
https://www.biofermenergy.com/milestones
</t>
  </si>
  <si>
    <t xml:space="preserve">https://www.bidnet.com/bneattachments?/574986152.pdf  https://garlandtx.gov/DocumentCenter/View/7854/May-2020---Garland-City-Press
https://www.atmosenergy.com/newsroom/earth-day-2022-delivering-sustainable-solutions-achieve-low-carbon-energy-future
</t>
  </si>
  <si>
    <t>https://www.cityoftyler.org/government/departments/solid-waste/landfill 
https://morrowrenewables.com/portfolio/ 
http://www.globalmethane.org/documents/toolsres_lfg_IBPGAppendixA.pdf</t>
  </si>
  <si>
    <t xml:space="preserve">http://biomassmagazine.com/articles/14873/rng-coalition-celebrates-new-projects-launches-video
https://www.ntmwd.com/ntmwd-celebrates-completion-of-renewable-energy-gas-plant-in-melissa/
https://www.dallasnews.com/news/2017/12/26/turning-trash-into-cash-converting-landfill-gas-to-renewable-natural-gas-creates-new-revenue/
</t>
  </si>
  <si>
    <t xml:space="preserve">https://www.longviewtexas.gov/2704/Pine-Hill-Landfill  
http://biomassmagazine.com/articles/14873/rng-coalition-celebrates-new-projects-launches-video 
https://issuu.com/bbiinternational/docs/rngmap21_digital https://www.kltv.com/story/36406324/methane-from-pine-hill-landfill-will-now-be-converted-to-renewable-natural-gas/
https://www.waste360.com/gas-energy/republic-unveils-northeast-texas-landfill-renewable-energy-facility
</t>
  </si>
  <si>
    <t xml:space="preserve">HoST Group NY Dairy Project A </t>
  </si>
  <si>
    <t>https://nrswa.org/new-river-rng-project/#:~:text=The%20project%2C%20formally%20known%20as,Energy%2C%20a%20Fortistar%20portfolio%20company.,   https://www.epa.gov/sites/production/files/2019-05/documents/full-rfp_18-01_nrrl_lfg-to-cng.pdf , https://www.naturalgasintel.com/fortistar-partnering-on-florida-rng-project-to-fuel-ngvs/   https://www.environmentalleader.com/2020/12/florida-first-construction-begins-on-facility-that-will-convert-landfill-methane-to-renewable-natural-gas/ https://nrswa.org/new-river-rng-project/https://www.businesswire.com/news/home/20220810005219/en/OPAL-Fuels-Reports-Year-to-Date-2022-Results</t>
  </si>
  <si>
    <t>Landfill, Rumplke; upgrading project, Fortistar/Opal</t>
  </si>
  <si>
    <t>http://biomassmagazine.com/articles/6108/ohio-landfill-gas-to-pipeline-project-underway  
http://montaukenergy.com/operations/apex/
https://seekingalpha.com/news/3879161-montauk-renewables-to-build-new-renewable-natural-gas-plant-in-ohio
https://biomassmagazine.com/articles/19307/montauk-renewables-announces-second-apex-rng-facility</t>
  </si>
  <si>
    <t>Millenkamp Cattle</t>
  </si>
  <si>
    <t>Startup Q1 2024</t>
  </si>
  <si>
    <t xml:space="preserve">Clean Energy Fuels, ?? </t>
  </si>
  <si>
    <t>Q4 2024</t>
  </si>
  <si>
    <t xml:space="preserve">Charles Ahlem Ranch Dairy is part of the new Hilmar dairy biogas to fuel cluster in Merced County, CA. The dairy will install a Tier 1 designed manure-only covered lagoon digester with integrated gas storage and pre-treatment. An on-dairy biogas conditioning and compressor station (shared with the neighboring Ahlem Farms Dairy digester project) will remove hydrogen sulfide and moisture and then meter and move the clean biogas into a gathering line connecting to the centralized biogas upgrading and interconnection facility. Biomethane, meeting PG&amp;E specifications, will be injected into the nearby point of receipt. The project's biomethane will be delivered as RCNG to fleets and CNG fueling stations in California. California Bioenergy is the project developer. </t>
  </si>
  <si>
    <t>October 2022</t>
  </si>
  <si>
    <t>http://biomassmagazine.com/articles/17747/agreement-signed-for-illinois-rng-project
https://www.wjol.com/will-county-board-approves-renewable-natural-gas-plant/  http://willcountyil.iqm2.com/Citizens/FileOpen.aspx?Type=1&amp;ID=3814
https://www.wjol.com/will-county-celebrates-ribbon-cutting-at-new-renewable-natural-gas-plant/</t>
  </si>
  <si>
    <t>https://www.startribune.com/renewable-natural-gas-plant-planned-for-landfill-in-inver-grove-heights/600045459/
https://www.prnewswire.com/news-releases/opal-and-nextera-energy-marketing-announce-plans-to-build-minnesotas-first-renewable-natural-gas-facility-301278648.html
https://biomassmagazine.com/articles/19460/minnesota-landfill-gas-to-rng-project-begins-operations
https://www.businesswire.com/news/home/20221025005262/en/OPAL-Fuels-NextEra-Energy-Marketing-and-Republic-Services-Begin-Operations-at-Minnesota%E2%80%99s-First-Landfill-Gas-to-Renewable-Natural-Gas-Facility
https://www.environmentalleader.com/2022/10/minnesotas-first-renewable-natural-gas-facility-now-operational/</t>
  </si>
  <si>
    <t xml:space="preserve">3 Rivers Jack Daniel's </t>
  </si>
  <si>
    <t xml:space="preserve">Project involves two farms. Output numbers based on DTE website. </t>
  </si>
  <si>
    <t xml:space="preserve">November 2022. </t>
  </si>
  <si>
    <t>https://dtepowerandindustrial.com/project/dakota-plains-renewable-energy-under-construction/
https://dtevantage.com/wp-content/uploads/2022/11/Dairy-to-RNG-South-Dakota-Release_Nov-2022.pdf</t>
  </si>
  <si>
    <t>https://www.wastedive.com/news/bioenergy-devco-newlight-partners-anaerobic-digesters/560495/ https://www.bioenergy-news.com/news/bts-biogas-bioenergy-devco-join-forces-on-us-ad-projects/
https://bioenergydevco.com/gov-hogan-joins-state-officials-at-ribbon-cutting-for-bioenergy-devcos-anaerobic-digester/
https://bioenergydevco.com/maryland-bioenergy-center/</t>
  </si>
  <si>
    <t>110,000 tons per year</t>
  </si>
  <si>
    <t xml:space="preserve">300 (based on 110,000 TPY) </t>
  </si>
  <si>
    <t>110,000 ton per year facility located at the Maryland Food Center, a wholesale hub in Jessup, MD. System to go into commissioning Q4 2021, RNG production expected Q2 2022.</t>
  </si>
  <si>
    <t>https://finance.yahoo.com/news/brightmark-breaks-ground-caballero-renewable-120000806.html#
https://www.brightmark.com/work/the-caballero-project/
https://biomassmagazine.com/articles/17957/brightmark-breaks-ground-on-caballero-rng-project-in-arizona</t>
  </si>
  <si>
    <t>https://www.yahoo.com/now/sji-rev-lng-announce-construction-205400435.html
http://www.oakridgedairy.com/
https://lmtribune.com/business/connecticut-dairy-to-turn-cow-waste-to-wattage/article_1fc2e2cc-e139-59d9-b5bd-d56289de7916.html
https://www.rngcoalition.com/news/2022/7/1/ellington-dairy-farm-becomes-first-in-connecticut-to-make-natural-gas-from-cow-manure</t>
  </si>
  <si>
    <t>Biogest Idaho (Oak Valley)</t>
  </si>
  <si>
    <t>https://www.renewableenergymagazine.com/biogas/biogest-to-build-its-first-biogas-plant-20210114
https://www.biogest.at/page/en/137/BIOGEST-builds-1st-biogas-plant-in-Idaho.html
https://www.biogest.at/products/success-stories/oak-valley-us</t>
  </si>
  <si>
    <t>August 2021</t>
  </si>
  <si>
    <t>Shell Downstream Bovarius (Bettencourt Dairy)</t>
  </si>
  <si>
    <t>https://finance.yahoo.com/news/brightmark-breaks-ground-three-renewable-120000488.html
https://www.brightmark.com/renewable-natural-gas/projects/the-meadow-rock-project</t>
  </si>
  <si>
    <t>https://finance.yahoo.com/news/brightmark-breaks-ground-three-renewable-120000488.html
https://www.brightmark.com/renewable-natural-gas/projects/the-sunryz-project</t>
  </si>
  <si>
    <t>https://finance.yahoo.com/news/brightmark-breaks-ground-three-renewable-120000488.html
https://www.brightmark.com/renewable-natural-gas/projects/the-red-arrow-project</t>
  </si>
  <si>
    <t>https://sports.yahoo.com/sji-rev-lng-break-ground-210300636.html
https://www.thetimesherald.com/story/news/2021/12/29/sanilac-county-dairy-farms-participating-renewable-natural-gas-project/8981383002/</t>
  </si>
  <si>
    <t>https://www.businesswire.com/news/home/20210907005130/en/UGI-and-Global-Common-Energy-Add-a-Second-Renewable-Natural-Gas-Project-in-Upstate-New-York
https://auburnpub.com/news/local/renewable-natural-gas-project-up-and-running-at-cayuga-county-farm/article_fb07f425-5d5d-5e7f-be69-fb4c0c78d1d7.html</t>
  </si>
  <si>
    <t>Dynamic Group Victory Farms (VF Renewable Energy)</t>
  </si>
  <si>
    <t>Construction began Fall 2021</t>
  </si>
  <si>
    <t>43.8 million gallons</t>
  </si>
  <si>
    <t>https://alignrng.com/projects.aspx
https://www.smithfieldtimes.com/2022/06/06/natural-gas-facility-approved-for-surry-county/</t>
  </si>
  <si>
    <t>Construction started Spring 2022</t>
  </si>
  <si>
    <t>60.2 million gallons</t>
  </si>
  <si>
    <t>Construction supposedly began Fall 2021</t>
  </si>
  <si>
    <t>25.5 million gallons per year</t>
  </si>
  <si>
    <t xml:space="preserve">Marshall Ridge Farms (Dynamic Group) </t>
  </si>
  <si>
    <t xml:space="preserve">Q4 2022 </t>
  </si>
  <si>
    <t>Dynamic Group, CEF, bp</t>
  </si>
  <si>
    <t xml:space="preserve">The project involves the construction of 16 anaerobic digesters with capability to produce renewable natural gas (RNG) from manure and food waste. The estimated energy output of 5.7 million therms is equivalent to the home heating needs for 7,600 Wisconsin homes. The RNG will be injected into the interstate natural gas pipeline system for use as a transportation fuel. Local press refers to project receiving manure from 7 farms. 60% of manure will be delivered by pipeline, remainder will be collected by Dynamic-contracted truck carrier. </t>
  </si>
  <si>
    <t xml:space="preserve">Project involves two dairies, Aurora Ridge and Sunnyside. Aurora Ridge will transport treated biogas ~5.5 miles to Sunnyside, where it will be combined with Sunnyside's in going through a PSA upgrading skid to produce RNG. RNG will be transported via truck to injection point  near Caton NY. </t>
  </si>
  <si>
    <t>https://subscriber.politicopro.com/article/2022/11/utility-approves-manure-to-pipeline-gas-project-00069287
https://dtevantage.com/project/bluebird-renewable-energy/
https://documents.dps.ny.gov/public/MatterManagement/CaseMaster.aspx?MatterCaseNo=21-g-0576&amp;CaseSearch=Search
https://m.facebook.com/profile.php?id=100080723554283</t>
  </si>
  <si>
    <t>11,150 (including heifers)</t>
  </si>
  <si>
    <t>American Organic Energy is a project by the owners of Long Island Compost. Food waste from Long Island will be collected, separated, pre-processed, broken down and ultimately transformed into electrical energy, renewable natural gas, fertilizer and nutrient-rich water.</t>
  </si>
  <si>
    <t>https://www.wastetodaymagazine.com/article/american-organic-energy-anaerobic-digester-yaphank-new-york/
https://libn.com/2022/04/11/anaerobic-digester-facility-coming-to-yaphank/
https://www.newsday.com/long-island/politics/compost-energy-lipa-renewable-natural-gas-xxkbg6ea</t>
  </si>
  <si>
    <t xml:space="preserve">As of September 2021, Port is going ahead with 3 anaerobic digester project, will add gas upgrading later. Hoping to have all in place by 2024. Digester would use process water from food processing businesses at port to produce renewable natural gas, organic fertilizer and clean water; primary feedstocks being proposed consist of produce waste including onion and potato waste solids, cheese, FOG. Anticipate producing ~1750 MMBTU/day. November 2022, they are begining construction on three lagoon digesters, which are feasible in their climate because they will be getting warm process water from the food manufacturers. Once one of them is complete, they will test gas volume and quantity, then work on identifying upgrading parter. Still foresee all operational by late 2024.   </t>
  </si>
  <si>
    <t>Covered lagoons</t>
  </si>
  <si>
    <t>NLC Energy/New Organic Digestion, Denmark (Formerly Big Ox)</t>
  </si>
  <si>
    <t>http://bigoxenergy.com/south-sioux-city-ne-and-big-ox-energy/   http://siouxcityjournal.com/news/local/million-south-sioux-city-project-planned/article_f7812db1-cf15-5670-b8fc-17b0854c9353.html  http://siouxcityjournal.com/business/investment/big-ox-energy-breaks-ground-in-south-sioux-city/article_562ed0c6-1dc8-56d9-bdda-9581a86ef2af.html  http://www.csrwire.com/press_releases/40585-UPS-Dramatically-Increases-Use-of-Renewable-Natural-Gas
https://siouxcityjournal.com/news/local/updated-nebraska-regulator-revokes-big-ox-permits/article_99843bef-e365-5e7b-be78-b1b935fd7676.html
https://nlcenergy.com/</t>
  </si>
  <si>
    <t>2022 Totals</t>
  </si>
  <si>
    <t xml:space="preserve">Distillery mash from Jack Daniel's whiskey production. </t>
  </si>
  <si>
    <t>https://www.energy.gov/sites/prod/files/2020/10/f79/101934.pdf
https://www.newswire.com/news/climate-capital-funds-makes-equity-investment-in-alabamas-first-21503795</t>
  </si>
  <si>
    <t>https://files.ceqanet.opr.ca.gov/265282-2/attachment/fT1a1wcuuINKSWedrfjtqlfBa7Sf7iXsx9db3YSCiDcISoEHH2zXIP8Yc6yRjSd9lDBfaQCa3o4YbhAv0   
https://www.contracosta.ca.gov/AgendaCenter/ViewFile/Agenda/_06232021-3543
https://www.wastetodaymagazine.com/article/rng-plant-approved-keller-canyon-landfill/</t>
  </si>
  <si>
    <t>Pacific Ag</t>
  </si>
  <si>
    <t>Will use a combination of dairy manure and crop residues</t>
  </si>
  <si>
    <t>Ash Grove Dairy (Dynamic Group)</t>
  </si>
  <si>
    <t xml:space="preserve">Landfill, Waste Management, Inc; upgrading, Green Rock Energy Partners as of Q4 2022. </t>
  </si>
  <si>
    <t>Green Rock Energy South Hills RNG</t>
  </si>
  <si>
    <t>Granger Wood Road</t>
  </si>
  <si>
    <t>McCarty Road Landfill  #2 (Republic, Montauk)</t>
  </si>
  <si>
    <t>AG Power DCD RNG Project Dry Creek Dairy)</t>
  </si>
  <si>
    <t>https://www.bioenergy-news.com/news/green-era-bp-partner-to-sell-rng-produced-via-chicago-ad-project/ https://www.waste360.com/food-waste/chicago-green-campus-plans-turn-food-waste-energy-and-grow-more-food
https://www.greenerachicago.com/
https://www.wastedive.com/news/chicago-green-era-urban-farm-anaerobic-digester/583764/
http://www.gagdc.org/news/3740
https://www.renewableenergymagazine.com/biogas/urban-farming-campus-on-chicago-s-south-20200824</t>
  </si>
  <si>
    <t>7176 tons/year</t>
  </si>
  <si>
    <t>40,000 tons per year</t>
  </si>
  <si>
    <t xml:space="preserve">The Eco Vista facility spans 14,430 square feet. It is expected to recover and distribute approximately 750,000 metric million British thermal units (mmBtu) per year of RNG, which could serve the equivalent of 25,000 households annually or 650 heavy-duty vehicles. 
WM will allocate a portion of the RNG for its U.S. fleet of compressed natural gas (CNG) vehicles.
The RNG facility at Eco Vista processes the increasing volumes of biogas collected from the landfill — generated during the decomposition of organic material — into pipeline-quality gas to be delivered to Energy Transfer’s Enable Gas Transmission pipeline system. According to communication with WMI, project will push 2500 SCFM of raw gas for upgrading. Upgrading technology Adsorption Research Inc. PSA system. </t>
  </si>
  <si>
    <t>Went operational in 2023</t>
  </si>
  <si>
    <t>https://evensol.com/projects/
https://www.prnewswire.com/news-releases/greater-commercial-lending-completes-financing-for-two-landfill-gas-to-renewable-natural-gas-projects-in-north-carolina-301479627.html
https://news.duke-energy.com/releases/duke-energy-announces-investment-in-two-new-renewable-natural-gas-projects-in-north-carolina https://www.youtube.com/watch?v=z4wlLLuygp0 https://www.energytech.com/energy-efficiency/article/21259128/duke-partners-plan-converting-north-carolina-landfill-gas-to-rng</t>
  </si>
  <si>
    <t>Republic Services, Energyneering, Evensol, Pacolet Milliken</t>
  </si>
  <si>
    <t>Air Liquide is building its largest RNG plant in the world to date, with a production capacity of 1,290,000 mmBtu (380 GWh) per year. April 2023, two Waga Energy cryogenic distillation modules were being installed.</t>
  </si>
  <si>
    <t>https://www.dynamicgrp.us/ash-grove-dairy
https://www.businesswire.com/news/home/20211111005359/en/Clean-Energy-and-bp-Broaden-Joint-Venture-Focused-on-Renewable-Natural-Gas-Project-Development-Aimed-at-Delivering-Lower-Carbon-Intensity-Fuels https://www.facebook.com/HolsteinUSA/videos/generation-after-generation-ash-grove-dairy/1535426326960312/</t>
  </si>
  <si>
    <t>https://www.naturalgasintel.com/clean-energy-fuels-progresses-110-mmcf-of-rng-dairy-projects/ https://www.bioenergy-news.com/news/clean-energy-announces-major-rng-project-at-idaho-dairy/ https://www.dairyindustries.com/news/40116/fuel-from-manure/ https://investors.cleanenergyfuels.com/news-releases/news-release-details/clean-energy-continues-decarbonize-transportation-new-fuel</t>
  </si>
  <si>
    <t>The project is expected to provide an anticipated five million gallons of low-carbon intensity RNG annually, which will flow into Clean Energy’s fuelling network. (April 2022) At Millenkamp Dairy in Idaho, engineering and procurement are being finalised, and construction of the front-end manure handling facility is underway. (August 2022) At Millenkamp Dairy in Idaho, one of the largest in the country, construction is continuing with the completion of the digester tank slated for early-2023.</t>
  </si>
  <si>
    <t>~250,000</t>
  </si>
  <si>
    <t>~150,000</t>
  </si>
  <si>
    <t>SCFD *.001 * 365 *.9 = MMBTU     in other words, SCFD *.3285 = MMBTU</t>
  </si>
  <si>
    <t>MMBTU/(.001*365*.9) = SCFD   in other words, MMBTU/.3285 = SCFD</t>
  </si>
  <si>
    <t>Currently uses 75 percent biogas for cogeneration, boilers, biogas sales to local industry; remainder flared [with some excess biogas to flare].  Feb 2015, the City of Portland approved a contract for final design of a facility to convert biogas to RNG.  Vehicle fueling station completed at end of 2017 and currently operational.  By end of 2020, to begin injection of RNG into NW Natural pipeline, plan to sell into LCFS and CFP markets. The City of Portland Bureau of Environmental Services is constructing an Organic Waste Receiving Facility (OWRF) at its Columbia Boulevard Wastewater Treatment Plant (CBWTP). The CBWTP has excess anaerobic digester capacity and source separated food wastes diverted from landfills will be offloaded into storage tanks where the food wastes will be pumped into existing digesters for co-digestion with biosolids. The receiving facility will also accept fats, oils, and greases (FOG) from restaurant grease traps.
The CBWTP already has two 850 kW biogas-fueled Jenbacher reciprocating engine generating sets that produce about 12 million kWh of electrical energy annually. Both engines will undergo upgrades in 2023 to allow combustion with biogas and natural gas blends. Current thinking is to treat both WWTF and OWRF biogas production to pipeline quality, followed by compression and injection of the renewable natural gas (RNG) into a nearby NW Natural gas distribution pipeline. A contracted third-party off-taker will obtain state and federal renewable attribute credits through sale of the RNG into the transportation sector. The RNG facility is expected to be up and running by late summer of 2022 with the OWRF operational by late fall of 2023. After RNG project completion and prior to OWRF operation, one engine will run on natural gas. After the OWRF comes online, the cogeneration fuel will primarily be biogas with natural gas blended in when required to meet thermal demands.</t>
  </si>
  <si>
    <t>https://globenewswire.com/news-release/2017/04/19/962355/0/en/NW-Natural-to-Put-Renewable-Natural-Gas-on-its-Pipeline-through-Partnership-with-City-of-Portland.html https://chptap.ornl.gov/profile/468/Oregon_Metro_Implements_Business_Food_Scraps_Separation_Requirements-Policy_Profile.pdf https://www.portlandoregon.gov/bes/article/636244 https://www.portlandoregon.gov/bes/77813</t>
  </si>
  <si>
    <t xml:space="preserve">
https://www.bartlettwest.com/services/project/oakland-wastewater-treatment-plant 
https://www.wateronline.com/doc/suez-methanis-biogas-membrane-system-generate-renewable-natural-gas-topeka-kansas-0001 https://www.gotopeka.com/local-government/utilities/water-wastewater-and-stormwater/ https://www.cjonline.com/story/news/local/2021/03/17/oakland-wastewater-plant-biogas-project-put-hold-costs-jump-environment-construction-topeka-kansas/4632901001/ https://www.bidnet.com/closed-government-contracts/rng-facility-spare-inventory-parts-and-materials?itemId=838996240 https://www.accesswater.org/publications/proceedings/-10091943/alternate-biogas-to-rng-a-case-study</t>
  </si>
  <si>
    <t>2022-</t>
  </si>
  <si>
    <t>Republic Services, Inc., landfill. U.S. Gain offtaker
Ameresco owns upgrading system, operates gas collection system</t>
  </si>
  <si>
    <t>Montauk Renewables</t>
  </si>
  <si>
    <t xml:space="preserve">Montauk Energy </t>
  </si>
  <si>
    <t xml:space="preserve">Ameresco update, facility has nameplate capacity of  4500 scfm of landfill gas. Supply agreement with US Gain who have a public fueling station in Houston. </t>
  </si>
  <si>
    <t>Selexol process is used to separate CO2 and CH4. Plant capacity is 9.2 mmscfd inlet. Gas end users are commercial fleet vehicles.</t>
  </si>
  <si>
    <t>https://www.businesswire.com/news/home/20210715005347/en/</t>
  </si>
  <si>
    <t>https://www.businesswire.com/news/home/20210112005747/en/Ameresco-Reaches-Mechanical-Completion-of-Landfill-Gas-to-Renewable-Natural-Gas-Plant   https://www.businesswire.com/news/home/20210715005347/en/</t>
  </si>
  <si>
    <t>http://montaukenergy.com/operations/mccarty/</t>
  </si>
  <si>
    <t>Birnamwood Renewable Energy</t>
  </si>
  <si>
    <t>Shawamo</t>
  </si>
  <si>
    <t>Twin Oaks</t>
  </si>
  <si>
    <t>https://businessjournaldaily.com/edl-launches-100m-renewable-energy-plant-in-poland/</t>
  </si>
  <si>
    <t xml:space="preserve">https://www.epa.gov/sites/production/files/2016-05/documents/wrrf_fresno_v2_may_12.pdf
</t>
  </si>
  <si>
    <t>https://kingcounty.gov/depts/dnrp/wtd/system/brightwater.aspx
https://kingcounty.gov/~/media/depts/dnrp/wtd/system/BW/docs/1109_BW_TechnicalFacts.ashx?la=en. https://kingcounty.gov/en/dept/dnrp/waste-services/wastewater-treatment/resource-recovery/energy/renewable-energy</t>
  </si>
  <si>
    <t>Pasco Resource Recovery Center</t>
  </si>
  <si>
    <t>late 2024</t>
  </si>
  <si>
    <t>EPC contract with Swinerton Builders, Inc.; 30-year PPP with Burnham RNG LLC</t>
  </si>
  <si>
    <t>The project represents a 30-year public private partnership with the City of Pasco for Burnham to build, own and operate the PRRC on behalf of the City. The RNG will be sold under a long-term contract, allowing the City to reduce net treatment costs and take advantage of tax incentives currently available for RNG projects under the Inflation Reduction Act. The center will process wastewater from seven food processors within the City of Pasco's jurisdiction. It will support the growth of the City's booming agribusiness sector while turning wastewater into clean energy and providing clean water and nutrients to irrigate and fertilize City-owned farmland. The PRRC will enable the reuse of an estimated 1.5 billion gallons of wastewater per year and is estimated to produce enough RNG to supply over 4,500 Washington State residential consumers each year.</t>
  </si>
  <si>
    <t>https://www.prnewswire.com/news-releases/city-of-pasco-and-burnham-rng-partner-to-modernize-wastewater-treatment-301851483.html https://www.prnewswire.com/news-releases/burnham-rng-selects-gross-wen-technologies-to-provide-wastewater-treatment-technology-to-its-new-pasco-washington-resource-recovery-center-301907145.html</t>
  </si>
  <si>
    <t>early 2024</t>
  </si>
  <si>
    <t>3 Rivers Energy Partners</t>
  </si>
  <si>
    <t>Divert, Inc.</t>
  </si>
  <si>
    <t>274 tons of wasted food per day (based on 100,000 TPY)</t>
  </si>
  <si>
    <t>100,000 tons per year</t>
  </si>
  <si>
    <t>23,000 metric tons of carbon dioxide a year </t>
  </si>
  <si>
    <t xml:space="preserve">https://www.bloomberg.com/press-releases/2022-10-06/divert-inc-announces-renewable-natural-gas-offtake-agreement-with-bp
https://www.wastedive.com/news/divert-bp-offtake-agreement-rng-food-digestion/633564/
https://finance.yahoo.com/news/divert-inc-breaks-ground-wasted-165900807.html?guce_referrer=aHR0cHM6Ly93d3cucm5nY29hbGl0aW9uLmNvbS8&amp;guce_referrer_sig=AQAAAD7TMJ2aWb0ydq0QlOzb71OH3fSuGWU-xuuIvhXOTEf5RbXM0fC3uTesPB9jGuETf1HRy97-mp-5glst0OjEO7ZRDG9GK6v9MaiGVTpANY5vgHQJbz9lcjl2k58w8H2k0kpYR04T9Y_ymvWjsNxDJ9URuBpcvMuYxkA9McwbAn89&amp;guccounter=2
https://www.turlockjournal.com/news/local/new-turlock-facility-looks-to-tackle-nations-food-waste-problem/
</t>
  </si>
  <si>
    <t>October 2022 announcement of offtake agreement with bp. April 2023 announcment of greoundbreaking of Turlock facility, with estimated completion early 2024. Reached interconnection agreement with PG&amp;E for RNG to enter PG&amp;E’s on-site transmission line, replacing fossil gas with a carbon negative renewable fuel to supply homes and businesses.</t>
  </si>
  <si>
    <t xml:space="preserve">[Divert Project] </t>
  </si>
  <si>
    <t>https://www.airliquide.com/group/press-releases-news/2022-02-03/air-liquide-build-usa-its-largest-biomethane-production-unit-world
https://biomarketinsights.com/air-liquide-to-develop-its-largest-biomethane-production-facility/ 
https://waga-energy.com/us/first-cryogenic-distillation-module-sold-to-air-liquide-passes-acceptance-testing-2/</t>
  </si>
  <si>
    <t>https://www.wmsolutions.com/locations/details/id/168  
https://www.adeq.state.ar.us/sw/permits/p_facil_report.aspx#Display https://talkbusiness.net/2023/07/waste-management-launches-35-million-rng-facility-in-springdale/
https://mediaroom.wm.com/wm-unveils-new-35-million-dollar-eco-vista-renewable-natural-gas-facility</t>
  </si>
  <si>
    <t>According to LMOP, an electricity project at the site was closed down at the end of 2013. This RNG project will produce 1200 - 1400 deks per day. Output estimates shown here are based on midpoint of 1300. As of April 2023, plant already up and running and injecting RNG directly into the local gas grid.</t>
  </si>
  <si>
    <t>https://www.postcrescent.com/story/news/local/2021/02/22/mas-energy-build-25-million-power-plant-outagamie-county-landfill/6752686002/   https://dnr.wi.gov/sotw/GetShwimsActivityDetail.do?sid=11292000&amp;ac=022&amp;lic=14914&amp;crumb=0
https://www.wearegreenbay.com/top-stories/25-million-dollar-appleton-facility-will-convert-greenhouse-gases-into-renewable-energy/ https://www.insightonbusiness.com/latestnews/outagamie-county-opens-renewable-natural-gas-facility-at-landfill/article_c83367e4-b9eb-11ed-8b2a-23bcad058acf.html https://fox11online.com/news/local/outagamie-county-recycling-waste-ushers-in-new-era-of-renewable-energy-with-new-facility-natural-gas-terreva-wisconsin-solid-waste-landfill-heat-homes-power-vehicles#:~:text=The%20county%20held%20a%20ribbon,heat%20thousands%20of%20surrounding%20homes.
https://wncy.com/2023/03/01/outagamie-county-ushers-in-new-era-of-renewable-energy-with-new-facility/</t>
  </si>
  <si>
    <t>Former CHP project being converted to RNG production. Current flow to CHP project in 2.14 mmscfd according to LMOP 2021. Mas to pay $25 million to build facility and then manage. The county will receive royalties from Mas Energy's gross sales of the renewable natural gas. Went operational March 2023. RNG going to grid to heat thousands of surrounding homes. Terreva Renewables, which partnered with the county on the project, says another portion of the created energy will power commercial vehicles, trucks and buses, using compressed natural gas, all over the country.</t>
  </si>
  <si>
    <t>RNG is injected into the local natural gas system, which is owned and operated by the Greenwood Commissioners of Public Works (Greenwood CPW). According to the EPA, the environmental benefits associated with this project at full build out will be equivalent to reducing the CO2 emissions of more than 66 million gallons of gasoline each year.</t>
  </si>
  <si>
    <t>https://www.greenvillecounty.org/solidwaste/Landfill.aspx  http://www.scdhec.gov/library/OR-1151.pdf https://greenvillejournal.com/news/landfill-looking-convert-gas-energy/ https://upstatebusinessjournal.com/news/new-composting-facility-unveiled-at-twin-chimneys-landfill/   http://landfillgroup.com/twin-chimneys-landfill-receiving-renewable-natural-gas-project/ 
https://www.kpvi.com/news/national_news/the-landfill-group-and-ls-power-announce-state-of-the-art-renewable-natural-gas-project/article_05382d7c-76d7-5d59-8db5-9624c81c1427.html
https://www.bioenergy-news.com/news/the-landfill-group-announces-commercial-operation-of-the-first-rng-project-in-south-carolina/
https://landfillgroup.com/the-landfill-group-announces-commercial-operation-of-the-first-rng-project-in-south-carolina/</t>
  </si>
  <si>
    <t>https://globalnews.ca/news/9945552/enbridge-divert-break-ground-renewable-fuel-facility-washington/
https://www.eastoregonian.com/news/agriculture/washington-plant-will-convert-food-waste-into-renewable-natural-gas/article_15c75f6a-5fd6-556f-aea1-bf1b678a1e62.html
https://tdn.com/news/local/business/divert-biogas-biofuel-jobs-longview-mint-farm/article_96aa406c-3b78-11ee-bc09-efefe20fde3d.html
https://www.thestar.com/business/enbridge-divert-break-ground-on-renewable-fuel-facility-in-washington/article_44c615ee-219c-59b3-b5bb-c3546fd8049d.html</t>
  </si>
  <si>
    <t>Divert Inc.</t>
  </si>
  <si>
    <t>Divert Integrated Diversion and Energy Facility (at Mint Farm Industrial Park)</t>
  </si>
  <si>
    <t>https://tdn.com/news/local/business/renewable-biogas-plant-planned-for-longview-could-be-first-of-its-kind-in-washington-state/article_95db7b23-cbe4-5a7e-8386-e99ecd0bb8e3.html
http://www.divertinc.com/
https://www.bloomberg.com/press-releases/2022-10-06/divert-inc-announces-renewable-natural-gas-offtake-agreement-with-bp
https://www.wastedive.com/news/divert-bp-offtake-agreement-rng-food-digestion/633564/
https://globalnews.ca/news/9945552/enbridge-divert-break-ground-renewable-fuel-facility-washington/
https://www.eastoregonian.com/news/agriculture/washington-plant-will-convert-food-waste-into-renewable-natural-gas/article_15c75f6a-5fd6-556f-aea1-bf1b678a1e62.html
https://tdn.com/news/local/business/divert-biogas-biofuel-jobs-longview-mint-farm/article_96aa406c-3b78-11ee-bc09-efefe20fde3d.html</t>
  </si>
  <si>
    <t>23,000 metric tons of greenhouse gas emissions annually</t>
  </si>
  <si>
    <t>$100 million facility to bring in food waste from 650 WA and OR grocery stores. October 2022 announcement of offtake agreement with bp. Groundbreaking ceremony September 2023, estimated completion in 2024. RNG from food waste will be injected into a nearby Cascade Natural Gas pipeline.</t>
  </si>
  <si>
    <t xml:space="preserve">Facility nearly $100 million investment. Under an agreement signed in February 2022, Pennant Midstream will transport up to six million cubic feet of renewable natural gas per day through its existing system from the landfill, redelivering the gas to EDL’s downstream markets. </t>
  </si>
  <si>
    <t>Eagle Ridge Landfill</t>
  </si>
  <si>
    <t>https://www.businesswire.com/news/home/20230809819469/en/Vision-RNG-and-Meridian-Waste-Announce-Landfill-Gas-to-Renewable-Natural-Gas-Project-First-in-Missouri</t>
  </si>
  <si>
    <t>Meridian Waste</t>
  </si>
  <si>
    <t>Vision RNG</t>
  </si>
  <si>
    <t>Pike</t>
  </si>
  <si>
    <t>Landfill began operations August 2023; generates enough RNG to heat approximately 8,800 homes per year. The RNG is injected into a nearby interstate natural gas pipeline and used by various customers across the U.S. for transportation fuel and other sustainability purposes.</t>
  </si>
  <si>
    <t xml:space="preserve">The digester is expected to be completed in late calendar 2024 and will process approximately 190,000 annual tons of food waste from nearby food manufacturers in an anaerobic digester. The project is expected to generate approximately 250,000 MMBTUs (million BTUs) of pipeline-quality RNG each year that will be injected into a local natural gas pipeline on the regional distribution system. Digester will be complete mix, upgrading will be water wash, no vendors selected yet. Gas most likely destined for transportation markets </t>
  </si>
  <si>
    <t>Groundbreaking July 2023, commercial operation Q4 2024</t>
  </si>
  <si>
    <t>https://www.businesswire.com/news/home/20210804006006/en/UGI-and-Synthica-Energy-Partner-to-Develop-Renewable-Natural-Gas 
https://synthica.com/synthica-energy-st-bernard/
https://biomassmagazine.com/articles/20260/ugi-energy-services-synthica-energy-break-ground-on-rng-project</t>
  </si>
  <si>
    <t>Projected status 12/31/2023</t>
  </si>
  <si>
    <t>https://www.wastetodaymagazine.com/article/anaergia-acquires-rhode-island-bioenergy-facility/
http://www.dem.ri.gov/programs/wastemanagement/facilities/OrbitEnergymonitoringplans.pdf
https://www.wastedive.com/news/rhode-island-first-anaerobic-digester/539063/
https://www.businesswire.com/news/home/20230118005363/en/Canadian-Owned-Irving-Oil-Selects-Anaergia-Inc.-as-a-Supplier-of-Carbon-Negative-Renewable-Natural-Gas-for-its-Operations-Including-the-Saint-John-Refinery#:~:text=The%20RNG%2C%20which%20is%20made,are%20transformed%20into%20renewable%20fuel.
https://www.wastedive.com/news/anaergia-earnings-rialto-bioenergy-los-angeles-organics/647305/
https://www.anaergia.com/the-40-million-ton-gold-mine/</t>
  </si>
  <si>
    <t>Anaergia recently acquired the facility, which is currently producing renewable electricity, and is upgrading the plant using its BUG biogas upgrading system to produce RNG. The facility will divert over 100,000 tons per year of food waste from landfills and convert the waste to renewable fuel. RIBF is expected to produce over 300,000 MMBtu of carbon-negative RNG starting later in 2023, which will make it New England’s largest anaerobic digestion-to-RNG facility.  In addition, the plant will recycle the nutrient-rich solid residual left over after anaerobic digestion to enrich New England soils and reduce the use of fossil fuel-derived fertilizers.</t>
  </si>
  <si>
    <t>Construction underway in 2023, expected completion later in 2023</t>
  </si>
  <si>
    <t>41,000 metric tons of CO2e </t>
  </si>
  <si>
    <t>Construction underway as of June 2023, with May 2024 estimated completion</t>
  </si>
  <si>
    <t>3 Rivers Energy, BIOFerm</t>
  </si>
  <si>
    <t>The facility will utilize spent distiller’s grains from the Jack Daniel Distillery to produce renewable natural gas (RNG) and a low-carbon natural fertilizer able to support tens of thousands of acres of farmland. Will supply pipeline; end-use unclear as of Sep 2023. The new process is also expected to reduce the distillery’s energy use by around 30%.</t>
  </si>
  <si>
    <t xml:space="preserve">https://www.globenewswire.com/news-release/2022/11/01/2545827/0/en/3-Rivers-Energy-Partners-Announces-Project-With-Jack-Daniel-s-to-Convert-Spent-Distillers-Grains-Into-Renewable-Natural-Gas-and-Natural-Commercial-Fertilizer.html
https://www.tullahomanews.com/news/local/3-rivers-energy-partners-with-jack-for-renewable-energy/article_1ecb9102-b466-11ed-a565-b3bac3bb84e3.html
https://www.biofermenergy.com/bioferm-selected-by-3-rivers-energy-partners-for-revolutionary-renewable-energy-project-near-the-jack-daniel-distillery/
https://captimes.com/news/business/jack-daniels-whiskey-waste-becomes-natural-gas-thanks-to-madison-firm/article_14e98d46-94cd-5b3b-9c39-9627cce37670.html
</t>
  </si>
  <si>
    <t>According to LMOP , all LFG is being flared at Magnolia. Upgrading project would collect and upgrade all gas, transmit it to nearby pipleine via a purpose-built 2.3 mile pipeline. According to landfill representative, project will push 600-700 SCFM of raw biogas. Gas will be injected into Riviera Utilities pipeline. Note: July 2023 LMOP says design for 1,100 scfm LFG inlet and initial production of &gt;200,000 dekatherms [MMBTU]/yr RNG; 2.3-mile transmission pipeline to interconnect.</t>
  </si>
  <si>
    <t>4700 scfm of LFG processed into 2041 scfm of RNG to be injected into pipeline that will link up with PG&amp;E pipeline.</t>
  </si>
  <si>
    <t>https://wcfcourier.com/news/local/black-hawk-county-landfill-renewable-gas/article_5618b486-36df-11ee-94f7-23487b951524.html
https://www.energytech.com/renewables/article/21272389/iowa-landfill-installing-25m-system-to-turn-methane-emissions-into-renewable-gas
https://pinecreekrng.com/projects/black-hawk-county/</t>
  </si>
  <si>
    <t>Black Hawk County Landfill</t>
  </si>
  <si>
    <t>Project added 2023</t>
  </si>
  <si>
    <t>Black Hawk</t>
  </si>
  <si>
    <t>Black Hawk County SWM Commission</t>
  </si>
  <si>
    <t>Pine Creek RNG</t>
  </si>
  <si>
    <t>Approximately $25 million project will reduce 3,613 tons of methane annually by capturing biogas, upgrading onsite, and injecting into a pipeline. Won't cost the county anything, as it entered into a partnership with Pine Creek RNG, which will carry the burden.</t>
  </si>
  <si>
    <t>Landfill, WMI; upgrading operation, Terreva Renewables</t>
  </si>
  <si>
    <t>WMI, Terreva Renewables, IC Thomasson Associates</t>
  </si>
  <si>
    <t>https://www.icthomasson.com/markets/projects/process-crowder-renewable-natural-gas-landfill-projects
https://terrevarenewables.com/portfolio.html</t>
  </si>
  <si>
    <t>Project Grayslake will produce pipeline quality RNG for injection into Natural Gas Pipeline Company of America (Kinder Morgan). 3,200 scfm capacity and 2,126 MMBtu daily RNG production.</t>
  </si>
  <si>
    <t>Waste Connections, Air Liquide, Streamline Innovations, Inc.</t>
  </si>
  <si>
    <t xml:space="preserve">Projected status 12/31/2023 </t>
  </si>
  <si>
    <t xml:space="preserve">https://www.wmsolutions.com/pdf-tracker/index/id/63/campaignType/28
http://s24.q4cdn.com/126708163/files/doc_presentations/2021/09/September-2021-Investor-Presentation-old.pdf
https://www.nasdaq.com/articles/kinder-morgan-kmi-affiliate-starts-3-rng-plants-construction-2021-10-05
https://www.kindermorgan.com/Operations/Projects/Kinetrex-Landfill-Based-RNG-Facilities-Project
</t>
  </si>
  <si>
    <t>Project converts approximately 8.64 mmscfd of landfill gas to pipeline quality. The construction also included a 5-mile pipeline lateral to transport the RNG to the to a nearby third-party transmission pipeline. Begin monetizing RINs in Q3 2023.</t>
  </si>
  <si>
    <t>Emerald RNG at Arbor Hills</t>
  </si>
  <si>
    <t>Arbor Hills Energy LLC </t>
  </si>
  <si>
    <t>GFL Renewables LLC / OPAL Fuels LLC</t>
  </si>
  <si>
    <t>http://edocs.deq.nc.gov/WasteManagement/0/edoc/1215656/1403_INSP_20180627.pdf  https://files.nc.gov/ncdeq/Air%20Quality/permits/2019_public_notice_documents/permit_reviews/20190520_Republic_rev.pdf
https://news.duke-energy.com/releases/duke-energy-announces-investment-in-two-new-renewable-natural-gas-projects-in-north-carolina https://www.energytech.com/energy-efficiency/article/21259128/duke-partners-plan-converting-north-carolina-landfill-gas-to-rng
https://evensol.com/evensol-project-partners-commission-the-state-of-north-carolinas-first-two-landfill-gas-to-renewable-natural-gas-production-facilities/</t>
  </si>
  <si>
    <t xml:space="preserve">As of April 2022 Duke Energy became an investor in this project. The RNG will provide clean transportation fuel to commercial fleet vehicles. The project will initially produce up to 500,000 MMBTU of RNG each year. </t>
  </si>
  <si>
    <t xml:space="preserve">Plan to use fuel for waste collection fleet and to drive microturbines. Fuel for refuse fleet of 47 vehicles. Processes up to 12,000 tons of high-strength organic waste per year. Four microturbine cogeneration units produce electricity to help power the gas conversion process and provide heat for the anaerobic digesters.  </t>
  </si>
  <si>
    <t>https://www.wdbj7.com/2022/05/17/ground-broken-project-leading-conversion-biogas-into-renewable-natural-gas/
https://www.westernvawater.org/wastewater-service/wastewater-treatment https://www.westernvawater.org/wastewater/wastewater-treatment/biogas-to-renewable-natural-gas-project#ad-image-0 https://www.westernvawater.org/home/showpublisheddocument/13350/638211476491000000 https://www.roanokegas.com/roanoke-gas-company-receives-approval-of-rng-facility/
https://biomassmagazine.com/articles/18993/roanoke-gas-breaks-ground-on-rng-project-in-virginia https://www.westernvawater.org/wastewater/wastewater-treatment/biogas-to-renewable-natural-gas-project#ad-image-0
https://www.gurufocus.com/news/1780394/roanoke-gas-company-and-the-western-virginia-water-authority-break-ground-on-a-facility-to-convert-biogas-into-renewable-natural-gas-for-the-benefit-of-the-community https://www.westernvawater.org/home/showpublisheddocument/13350/638211476491000000
https://www.roanokegas.com/roanoke-gas-company-and-the-western-virginia-water-authority-announce-ribbon-cutting-on-a-facility-to-convert-biogas-into-renewable-natural-gas-for-the-benefit-of-the-community/
https://roanoke.com/news/local/renewable-natural-gas-to-be-produced-at-roanoke-county-landfill/article_1badac4a-2b2f-11ee-91c3-372e163a7089.html</t>
  </si>
  <si>
    <t>$16.5 million in combined investment. Separate project to rehab and expand ADs 70% complete as of May 23, 2023. When all digesters are complete the process will produce between 288,000 and 317,000 cubic feet of gas per day. At full buildout, the digesters will produce and the digester gas conditioning system will treat a biogas design flow of 550,000 cubic feet per day (cfd) to create commercial quality RNG. Note: using average of 302,500 scfd for calculations; at full buildout, MMBTU/yr would be 180,675.</t>
  </si>
  <si>
    <t>Status End 2023</t>
  </si>
  <si>
    <t>GreenGasUSA</t>
  </si>
  <si>
    <t>An existing interstate pipeline system will transport the RNG to local homes and businesses.</t>
  </si>
  <si>
    <t>3/30/2023</t>
  </si>
  <si>
    <t>Construction began 6/29/21</t>
  </si>
  <si>
    <t>https://www.azfamily.com/news/buckeye-dairy-farm-converting-poop-to-power/article_2001a5fa-501c-11e9-97ba-8ba3d4f40913.html
https://tucson.com/business/poo-power-renewable-gas-projects-sprout-at-arizona-sewer-plant-dairies/article_56bb567a-b1c9-11eb-98f6-7b59dad30212.html
https://www.abc15.com/news/region-west-valley/buckeye/buckeye-dairy-turns-cow-poop-into-power
http://biomassmagazine.com/articles/18094/southwest-gas-to-source-rng-from-5-projects
https://www.naturalgasintel.com/southwest-gas-readies-five-rng-projects/
https://patch.com/arizona/phoenix/calendar/event/20210629/1085343/avolta-breaks-ground-on-first-of-series-of-biogas-projects-in-az
https://www.avoltadevelopment.com/agriculture/
https://nacellesolutions.com/project/dairy-projects/
https://www.swgas.com/en/news/southwest-gas-expands-renewable-natural-gas-interconnects</t>
  </si>
  <si>
    <t>https://tucson.com/business/poo-power-renewable-gas-projects-sprout-at-arizona-sewer-plant-dairies/article_56bb567a-b1c9-11eb-98f6-7b59dad30212.html
http://biomassmagazine.com/articles/18094/southwest-gas-to-source-rng-from-5-projects
https://patch.com/arizona/phoenix/calendar/event/20210629/1085343/avolta-breaks-ground-on-first-of-series-of-biogas-projects-in-az
https://www.naturalgasintel.com/southwest-gas-readies-five-rng-projects/
https://www.avoltadevelopment.com/agriculture/
https://nacellesolutions.com/project/milky-way-dairy-project/</t>
  </si>
  <si>
    <t xml:space="preserve">With Butterfield Dairy in Buckeye, will accept over 110,000 tons of manure annually. This project produces over 375,000 MMBTU of RNG annually. </t>
  </si>
  <si>
    <t xml:space="preserve">With Butterfield Dairy in Buckeye, will accept over 110,000 tons of manure annually. This project produces over 300,000 MMBTU of RNG annually. </t>
  </si>
  <si>
    <t>https://www.businesswire.com/news/home/20210720005320/en/OPAL-Fuels-LLC-Announces-Investment-in-Indiana-RNG-Facility-with-One-of-the-Lowest-Carbon-Intensity-Scores-in-the-Industry
https://markets.ft.com/data/announce/detail?dockey=1323-15061427-2F4TC1M8FAES9UBIH4CPE9BHF9
https://biotownag.com/
http://biomassmagazine.com/articles/18298/clarke-energy-biotown-biogas-announce-rng-project
https://www.businesswire.com/news/home/20230322005065/en/BioTown-Biogas-Activates-Digester-and-Processing-Facility-Becoming-One-of-the-Largest-Renewable-Natural-Gas-Producers-in-North-America</t>
  </si>
  <si>
    <t>Reynolds BioTown Biogas</t>
  </si>
  <si>
    <t xml:space="preserve">The facility is expected to generate more than 42 million kilowatt-hours of renewable power per year, while also producing more than three million gallons of renewable fuel per year. Upgrading technology will be membrane. Project will also include CHP system, as well as injection to gird. Biomass article refers to 1500 SCFM of raw gas going to upgrading project. </t>
  </si>
  <si>
    <t>BioTown Ag, Fortistar, Sustainable Development Capital, Clarke Energy, Green Rock, OPAL Fuels</t>
  </si>
  <si>
    <t xml:space="preserve">The methane from the farm’s manure waste will be used to produce RNG, which is then transported to DTE Vantage’s nearby Newton Interconnect site and injected into a natural gas pipeline. DTE Vantage is working with U.S. Gain – a Wisconsin-based company that delivers alternative fuel and renewable energy – to transport the RNG to market for vehicle use. U.S. Gain will bring the RNG generated from this new project to the transportation market in California where it will help reduce the greenhouse gas emissions of its customers’ fleets.    </t>
  </si>
  <si>
    <t>Vanderham Dairy Digester Pipeline Project (Five Points cluster)</t>
  </si>
  <si>
    <t xml:space="preserve">The project is a part of the Calgren Dairy Fuels Cluster, developed by Maas Energy Works. The methane-rich biogas from the Stillwater digester is transported via virtual pipeline to the cluster's central hub near the Calgren ethanol refinery. No figure of biogas production on AgSTAR or online, but based on number of cows and emisisons avoided at similar projects, going with 500,000 scfd raw gas to project. </t>
  </si>
  <si>
    <t>100tpd</t>
  </si>
  <si>
    <t>Northstate Rendering Anaerobic Digester (formerly Biogas Energy, now Republic Services)</t>
  </si>
  <si>
    <t>Feb. 2017 http://www.chicoer.com/article/NA/20170219/NEWS/170219682
https://www.facebook.com/pg/LBGGroupPurchasing/photos/?tab=album&amp;album_id=437696499616003
http://www.biogas-energy.com/site/index.html
https://www.landiainc.com/case-studies/north-state-rendering-california
https://www.wastetodaymagazine.com/news/republic-services-acquires-anaerobic-digestion-faciloity-california/
https://www.energy.ca.gov/sites/default/files/2023-03/CEC-600-2023-007.pdf</t>
  </si>
  <si>
    <r>
      <t xml:space="preserve">Biogas-to-CNG upgrading produces biomethane that is then compressed and distributed in a CNG fueling station to fuel North State Rendering's truck fleet, which is being converted to duel-fuel CNG/diesel; biomethane is pipeline-quality and can also be injected into the pipeline for sale to other customers (awaiting approval); some biogas pre-upgrading used for combined heat and power generator to produce 100% of the electricity used on site as well as heat to operate the plant. On site fueling facility for vehicles. Update - </t>
    </r>
    <r>
      <rPr>
        <b/>
        <sz val="8"/>
        <color theme="1"/>
        <rFont val="Calibri"/>
        <family val="2"/>
      </rPr>
      <t>March 2023 California Energy Commission report has lots of details.- ex. Use of the biogas:
• 120-150 standard cubic feet per minute to combined heat and power generator unit to generate 500kW electricity &amp; heat for digesters
• 150 standard cubic feet per minute to CNG production to generate 750 DGE per day, or 273,864 DGE per year</t>
    </r>
  </si>
  <si>
    <t>https://www.businesswire.com/news/home/20221208005100/en/Green-Rock-Energy-Partners-Acquires-Pennsylvania-Renewable-Natural-Gas-Production-Facility
https://southhillsrng.com/colorado-energy-trading-company-joins-landfill-natural-gas-project/</t>
  </si>
  <si>
    <t>PSA South Hills Landfill Gas Venture, Green Rock</t>
  </si>
  <si>
    <t>According to LMOP, this project was shsut down in 2013, but press accounts of purchase are from 2022. New RNG facility being built and expected to start production in mid-2023. The facility is expected to produce one million gallons/year of renewable fuel. Caluclations based on 1 million GGE/yr.</t>
  </si>
  <si>
    <t>Republic Upper Piedmont Environmental Landfill</t>
  </si>
  <si>
    <t>Will County Renewable Natural Gas Facility at Prairie View Landfill</t>
  </si>
  <si>
    <t>https://www.wmsolutions.com/pdf/factsheet/Simi_Valley_Landfill.pdf
https://www.simivalleyacorn.com/articles/a-groundbreaking-move-to-clean-up-the-air-save-resources/
https://www.ourair.org/wp-content/uploads/2023-03bcc-5-pp.pdf</t>
  </si>
  <si>
    <t>$100 million investment to build RNG project at landfill rather than flare the biogas. RNG Will be Sold to SoCal Gas Pipeline, and/or RNG Will be Compressed - Vehicle Fuel (CNG)</t>
  </si>
  <si>
    <t>100000 tons</t>
  </si>
  <si>
    <t>2023</t>
  </si>
  <si>
    <t>RNG to vehicle fuel project. The new plant will produce renewable natural gas which will largely be transported to California and western states that use RNG to meet their clean energy goals.</t>
  </si>
  <si>
    <t>https://oberlinreview.org/26178/news/construction-to-start-on-new-edl-landfill-gas-plant/</t>
  </si>
  <si>
    <t>Lunenburg</t>
  </si>
  <si>
    <t>https://www.kenbridgevictoriadispatch.com/2023/02/16/lunenburg-landfill-turns-trash-into-clean-energy/#:~:text=“RNG%20is%20an%20ultra%2Dlow,to%20heat%20homes%20and%20businesses.”
https://www.wastetodaymagazine.com/news/merdian-lunenburg-landfill-fun-fest-2023-gas-to-energy-project/</t>
  </si>
  <si>
    <t>Lunenburg Landfill</t>
  </si>
  <si>
    <t>Fall 2023</t>
  </si>
  <si>
    <t>Construction began in July 2022 and expected to finish in Fall 2023 (LMOP says 11/30/23). Piepline injection onsite. 40 out of 54 acres will have the landfill gas collection system; the rest will be brought in once suitable heights (could be within two years).</t>
  </si>
  <si>
    <t>Prince William County Sanitary Landfill</t>
  </si>
  <si>
    <t>Prince William County (Solid Waste Division)</t>
  </si>
  <si>
    <t>Prince William</t>
  </si>
  <si>
    <t>OPAL Fuels</t>
  </si>
  <si>
    <t>89,000 tons/year of CO2</t>
  </si>
  <si>
    <t>Currently, most of the LFG from Prince William County Sanitary Landfill is being used for electricity generation and some is being flared without environmental benefit.
The new RNG facility will eliminate combustion of LFG in the flares and the engine facility, instead converting the LFG to consumer-grade RNG with a 95% conversion efficiency. This represents an improvement in conversion efficiency by ~60% compared to the engine facility.The RNG will be transported along a 7-mile-long route utilizing an existing electrical right of way (ROW) owned by Dominion Energy in order to limit the amount of land disturbance for landowners adjacent to the proposed natural gas line. Surveying due to be completed in September 2023.</t>
  </si>
  <si>
    <t>https://neabsconews.org/2023/01/25/renewable-natural-gas-project-at-county-landfill/
https://pwc-opalfuelsrng.com/uncategorized/prince-william-landfill-rng-and-opal-fuels-project-route-update/
https://pwc-opalfuelsrng.com/about-the-project/</t>
  </si>
  <si>
    <t>https://www.businesswire.com/news/home/20230301005078/en/Viridi-Launches-Landfill-Renewable-Natural-Gas-Project-in-Partnership-with-Marathon-County</t>
  </si>
  <si>
    <t>Marathon County</t>
  </si>
  <si>
    <t>Marathon</t>
  </si>
  <si>
    <t>Marathon County Solid Waste Department</t>
  </si>
  <si>
    <t>Viridi</t>
  </si>
  <si>
    <t>Once the construction phase is complete and the facility is operational, Viridi will deliver clean energy to offtake partners, including long-term buyers of RNG and the transportation market.</t>
  </si>
  <si>
    <t>https://www.meridianwaste.com/cleanenergy/</t>
  </si>
  <si>
    <t>Landfill to RNG; hardly any info on this online.</t>
  </si>
  <si>
    <t>End of 2023</t>
  </si>
  <si>
    <t>Petersburg</t>
  </si>
  <si>
    <t>Tri-City Landfill</t>
  </si>
  <si>
    <t>McCall Farms</t>
  </si>
  <si>
    <t>GreenGasUSA and Guild Associates</t>
  </si>
  <si>
    <t>https://www.guildassociates.com/guild-associates-and-greengasusa-to-expand-mccall-farms-project/
https://www.today.duke.edu/2021/07/novel-renewable-natural-gas-partnership-will-move-duke-toward-carbon-neutrality
https://greengasusa.com/greengasusa-announces-rng-project-from-food-and-agricultural-waste-in-sc/?ss_source=sscampaigns&amp;ss_campaign_id=600de1a315b73f591e6ce748&amp;ss_email_id=600e053508f3860a07fd67b4&amp;ss_campaign_name=GreenGasUSA%20Announces%20RNG%20Project%20from%20Food%20and%20Agricultural%20Waste%20in%20SC&amp;ss_campaign_sent_date=2021-01-24T23%3A39%3A51Z
https://charlestonbusiness.com/news/manufacturing/82062/
https://www.wbtw.com/news/pee-dee/florence-county/south-carolina-companies-team-up-for-renewable-energy-project-at-mccall-farms/
https://agriculture.sc.gov/greengasusa-mercedes-benz-mccall-farms-expand-carbon-friendly-commitment-in-sc/</t>
  </si>
  <si>
    <t>First RNG produced 2022 but expansion underway to double capacity</t>
  </si>
  <si>
    <t>184000 metric tons of CO2e </t>
  </si>
  <si>
    <t>Cannery waste to pipeline RNGz. GreenGasUSA will be doubling the digester gas production capacity, as two lagoons will soon be operational at the site.  Guild Associates will provide a second Molecular Gate™ CO2 removal Pressure Swing Adsorption (PSA) system for this expansion in addition to the equipment under construction currently.  This project, with Duke University as an RNG consumer (95,000 MMBTUs), will convert biogas methane from agricultural waste into Renewable Natural Gas for injection into the natural gas pipeline. A Mercedes-Benz plant in SC has also signed a contract to buy RNG from the plant. RNG Coalition notes that ened uses will be transportation, thermal.</t>
  </si>
  <si>
    <t>https://www.muscatineiowa.gov/1122/MARRVE
https://www.muscatineiowa.gov/DocumentCenter/View/21377/Resource-Recovery-Hand-out18-PDF
https://www.kwqc.com/content/news/Muscatine-project-turns-waste-into-renewable-energy-567349531.html
https://www.muscatineiowa.gov/DocumentCenter/View/14247
https://www.wqad.com/article/tech/science/environment/muscatine-organics-recycling-center-food/526-849acf46-bbfc-4cd8-bd11-11d00f520709
https://www.biocycle.net/repurposing-infrastructure-facilitates-food-waste-codigestion/
https://www.aaees.org/assets/docs/library/AAEESWebinar-20220921.pdf</t>
  </si>
  <si>
    <t>Muscatine Water &amp; Resource Recovery Facility (drawing upon MARRVE Food Waste Project)</t>
  </si>
  <si>
    <t>Stanley Consultants</t>
  </si>
  <si>
    <t xml:space="preserve">RNG component 2023? </t>
  </si>
  <si>
    <t xml:space="preserve">Food waste and high strength organics (FOG, etc.) unpackaged and slurried at new facility purpose built at transfer station, Muscatine Organics Recycling Facility (MORC). Then transferred by truck to WRRF where food waste digesters will be stand alone and food waste will not be comingled with waste water.  Facility at WRRF currently has storage for up to 65,000 tons. Initial design and planning of project complete, biogas utilizations workshops running until end of year. New digesters have been ordered, construction should be complete by Q2 2021. Phase III will be our biogas utilization system with a yet unknown function and cost. There remain questions about whether upgrading will be at site, whether city will build it or biogas will be transferred to private facility or even area landfill.  City PPT presentation gives mid-range production of 700 DGE/day </t>
  </si>
  <si>
    <t>Piscataway WRRF Bioenergy Project</t>
  </si>
  <si>
    <t>WSSC Water</t>
  </si>
  <si>
    <t>"Substantially complete by November 2024"</t>
  </si>
  <si>
    <t xml:space="preserve">Construction on the $271 million project began in the spring of 2019 and is expected to be substantially complete by November 2024. Materials will be safely delivered to the Piscataway WRRF via truck from four other WSSC Water water resource recovery facilities located throughout Montgomery and Prince George’s counties. RNG to be sold on open marketplace and will generate Renewable Fuel Credits. </t>
  </si>
  <si>
    <t>https://www.wsscwater.com/sites/default/files/2023-05/FAQ%20sheets%20updated%2005.01.23.pdf
https://www.wsscwater.com/bioenergy
https://www.wwdmag.com/sludge-and-biosolids/press-release/33003090/maryland-provides-25m-for-wssc-water-bioenergy-facility</t>
  </si>
  <si>
    <t>8,000 tons of biosolids per month (from WSSC Water’s five major WRRFs)</t>
  </si>
  <si>
    <t>Bioenergy Recovery Project at Neuse River RRF</t>
  </si>
  <si>
    <t>mid-2024</t>
  </si>
  <si>
    <t>https://raleighnc.gov/water-and-sewer/bio-energy-recovery-project
https://raleighnc.gov/projects/bioenergy-recovery-project#:~:text=The%20Bioenergy%20Recovery%20Project%20is,City%27s%20main%20wastewater%20treatment%20plant.
https://lnba.net/sites/default/files/NRRRF%20Bioenergy%20Recovery%20Project%20Overview%20and%20Update%20-%20LNBA%20Workshop_082022.pdf</t>
  </si>
  <si>
    <t>Scheduled to begin initial energy processes in the Fall of 2023. Completion of project is on schedule for Spring / Summer 2024. The RNG produced at the 75-mgd wastewater plant will be delivered to a nearby natural gas pipeline can be used as fuel for the City’s Go Raleigh bus fleet or it can be sold to a third party as revenue. The biogas is projected to produce enough fuel to run as many as 70 City buses per day.</t>
  </si>
  <si>
    <t>Hazen, Crowder, Black &amp; Veatch, Brown &amp; Caldwell</t>
  </si>
  <si>
    <t xml:space="preserve">Synthica Dayton </t>
  </si>
  <si>
    <t>Groundbreaking targeted for late 2023, operations to begin in Sapring 2025</t>
  </si>
  <si>
    <t>Planned to accept approx. 150,000 tons of feedstock. Depackaging System for Plastic, Paper and Metal Packaged Food/Beverage Waste</t>
  </si>
  <si>
    <t>150,000 TPY</t>
  </si>
  <si>
    <t>~410TPD</t>
  </si>
  <si>
    <t xml:space="preserve">Groundbreaking Summer 2022 </t>
  </si>
  <si>
    <t>Commercial operation planned for summer 2023</t>
  </si>
  <si>
    <t xml:space="preserve">190,000 TPY </t>
  </si>
  <si>
    <t xml:space="preserve">Synthica Fort Worth </t>
  </si>
  <si>
    <t>Groundbreaking Q4 2023, operational mid-2025</t>
  </si>
  <si>
    <t>Planned to accept approx. 190,000 tons of food-derived feedstock. Depackaging System for Plastic, Paper and Metal Packaged Food/Beverage Waste</t>
  </si>
  <si>
    <t>~500TPD</t>
  </si>
  <si>
    <t>https://www.cattlemaps.com/feedlot/tk-red-river-dairy/  
http://www.macdon.com/en/performance/story/big-cheese
https://impactalpha.com/tapping-the-municipal-bond-market-for-green-distributed-infrastructure/
https://www.prnewswire.com/news-releases/suburban-propane-partners-lp-to-acquire-renewable-natural-gas-rng-production-assets-from-equilibrium-capital-group-and-establishes-partnership-for-the-development-of-additional-rng-projects-301710493.html</t>
  </si>
  <si>
    <t>Art Leyendekker Dairy RNG (North Visalia Cluster)</t>
  </si>
  <si>
    <t>Cow Palace Dairy</t>
  </si>
  <si>
    <t>Double Diamond Dairy RNG (Merced Cluster)</t>
  </si>
  <si>
    <t>Elkhorn Dairy RNG (North Visalia Cluster)</t>
  </si>
  <si>
    <t>High Roller Dairy RNG (Lakeside Cluster)</t>
  </si>
  <si>
    <t>Poplar Lane Dairy RNG (Lakeside Cluster)</t>
  </si>
  <si>
    <t>Van Der Hoek Dairy RNG (Five Points Cluster)</t>
  </si>
  <si>
    <t>GreenGas Colorado</t>
  </si>
  <si>
    <t>Full Circle Dairy FL</t>
  </si>
  <si>
    <t>Marshall Ridge Renewable Energy</t>
  </si>
  <si>
    <t>Jerome dairy cluster expansion (Pico Energy / Bettencourt B6 Dairy)</t>
  </si>
  <si>
    <t>Brook View Dairy</t>
  </si>
  <si>
    <t>Willow Point Dairy</t>
  </si>
  <si>
    <t>Bilow Farms</t>
  </si>
  <si>
    <t>Tri-Cross Dairy</t>
  </si>
  <si>
    <t>Lamb Weston Richland</t>
  </si>
  <si>
    <t>Darlington Ridge Farms</t>
  </si>
  <si>
    <t>Trillium Hill</t>
  </si>
  <si>
    <t>WTE HZI Carpenter</t>
  </si>
  <si>
    <t>https://aligneddigesters.com/dairies/</t>
  </si>
  <si>
    <t>Aligned Digesters website says "Cow Palace Dairy Digester in Pixley, CA has been under our Operations Management Team since 2022. This facility is currently upgrading the biogas to RNG and then transporting via virtual pipeline to the injection site."</t>
  </si>
  <si>
    <t>Aligned Digesters</t>
  </si>
  <si>
    <t xml:space="preserve">Maas Energy Works </t>
  </si>
  <si>
    <t>https://www.cdfa.ca.gov/oefi/ddrdp/docs/appendix_of_2023_ddrdp_legislative_report.pdf</t>
  </si>
  <si>
    <t>Art Leyendekker Dairy Biogas installed a Tier 1 designed manure-only covered lagoon digester with integrated gas storage and pre-treatment. The project's biomethane is delivered as RCNG to fleets and CNG fueling stations in California. Biomethane, meeting SoCalGas Rule 30, is injected into the co-located point of receipt.
• Location – Visalia, California (Tulare County)
• CDFA DDRDP Funding - $769,784
• Matching funds - $2,612,103
• Total Projects costs - $3,381,887
• Estimated 10-year GHG reductions – 77,697 MTCO2e
• GHG reductions per CDFA grant dollar – 0.10 MTCO2e
• GHG reduction per total project dollars - 0.02 MTCO2e
• Total cost per MTCO2e - $43.53</t>
  </si>
  <si>
    <t>Double Diamond Dairy Digester Pipeline Project built a new covered lagoon digester processing dairy manure. The methane-rich biogas from the digester is transported via a private, low-pressure pipe to the cluster's hub near Vander Woude Dairy. Once there, the biogas is used to fuel partner and public trucks at an on-site compressed natural gas fueling station. The remainder of the gas is conditioned and injected into the PG&amp;E utility pipeline for delivery to contracted CNG fueling stations around the Central Valley and the state.
• Location – El Nido, California (Merced County)
• CDFA DDRDP Funding - $2,037,766
• Matching funds - $2,578,783
• Total Projects costs - $4,616,549
• Estimated 10-year GHG reductions – 290,633 MTCO2e
• GHG reductions per CDFA grant dollar - 0.14 MTCO2e
• GHG reduction per total project dollars - 0.06 MTCO2e
• Total cost per MTCO2e - $15.88</t>
  </si>
  <si>
    <t>Elkhorn Dairy Biogas will install a Tier 1 designed manure-only covered lagoon digester with integrated gas storage and pre-treatment. The project's biomethane will be delivered as RCNG to fleets and CNG fueling stations in California. Biomethane, meeting SoCalGas Rule 30, will be injected into the nearby point of receipt.
• Location – Dinuba, California (Tulare County)
• CDFA DDRDP Funding - $2,125,882
• Matching funds - $4,520,035
• Total Projects costs - $6,645,917
• Estimated 10-year GHG reductions – 211,940 MTCO2e
• GHG reductions per CDFA grant dollar – 0.10 MTCO2e
• GHG reduction per total project dollars - 0.03 MTCO2e
• Total cost per MTCO2e - $31.36</t>
  </si>
  <si>
    <t xml:space="preserve">California Bioenergy LLC </t>
  </si>
  <si>
    <t xml:space="preserve">
High Roller Dairy Digester Pipeline Project will build a new covered lagoon digester processing dairy manure. The methane-rich biogas from the digester will be transported via a private, low-pressure pipeline to the cluster's central hub near River Ranch dairy. There, the biogas will be used to fuel partner and public trucks at an on-site compressed natural gas fueling station. The remainder of the gas will be injected into the SoCalGas utility pipeline for delivery to contracted CNG fueling stations around the state.
• Location – Hanford, California (Kings County)
• CDFA DDRDP Funding - $1,412,136
• Matching funds - $1,412,136
• Total Projects costs - $2,824,272
• Estimated 10-year GHG reductions – 105,257 MTCO2e
• GHG reductions per CDFA grant dollar - 0.07 MTCO2e
• GHG reduction per total project dollars - 0.04 MTCO2e
• Total cost per MTCO2e - $26.83</t>
  </si>
  <si>
    <t>Hilltop Holsteins</t>
  </si>
  <si>
    <t>UNDISCLOSED</t>
  </si>
  <si>
    <t>Poplar Lane Dairy Digester Pipeline Project will build a new covered lagoon digester processing dairy manure. The methane-rich biogas from the digester will be transported via a private, low-pressure pipe to the cluster's central hub near River Ranch dairy. There, the biogas will be used to fuel partner and public trucks at an on-site compressed natural gas fueling station. The remainder of the gas will be injected into the SoCalGas utility pipeline for delivery to contracted CNG fueling stations around the state.
• Location – Hanford, California (Kings County)
• CDFA DDRDP Funding - $1,756,966
• Matching funds - $1,756,966
• Total Projects costs - $3,513,932
• Estimated 10-year GHG reductions – 131,195 MTCO2e
• GHG reductions per CDFA grant dollar - 0.07 MTCO2e
• GHG reduction per total project dollars - 0.04 MTCO2e
• Total cost per MTCO2e - $26.78</t>
  </si>
  <si>
    <t>Van Der Hoek Dairy Digester Pipeline Project will build a new covered lagoon digester processing dairy manure. The methane-rich biogas from the digester will be transported via a private, low-pressure pipeline to the cluster's central hub near the operational Open Sky Ranch digester. Once at the hub, the biogas will be used to fuel partner and public trucks at an on-site compressed natural gas fueling station. The remainder of the gas will be injected into the adjacent PG&amp;E utility pipeline for delivery to contracted CNG fueling stations around the Central Valley and the state.
• Location – Helm, California (Fresno County)
• CDFA DDRDP Funding - $2,061,968
• Matching funds - $2,061,968
• Total Projects costs - $4,123,936
• Estimated 10-year GHG reductions – 168,447 MTCO2e
• GHG reductions per CDFA grant dollar - 0.08 MTCO2e
• GHG reduction per total project dollars - 0.04 MTCO2e
• Total cost per MTCO2e - $24.48</t>
  </si>
  <si>
    <t>Vanderschaaf (or Vander Schaaf) Dairy</t>
  </si>
  <si>
    <t>Sierra Renewable Organics Management</t>
  </si>
  <si>
    <t>https://www.sierrarenewables.com/vanderschaaf
https://ceqanet.opr.ca.gov/2021040196
https://www.treasurer.ca.gov/cpcfa/meeting/2020/initial-resolutions/SR-CV.pdf
https://stocklight.com/stocks/us/transportation-communications-electric-gas-and-sanitary-services/nasdaq-opal/opal-fuels/annual-reports/nasdaq-opal-2023-10K-23771486.pdf
https://www.sec.gov/Archives/edgar/data/1842279/000121390022024663/ea159577-425_arclightclean2.htm</t>
  </si>
  <si>
    <t>Announced in February 2023, a dairy waste-to-RNG facility is currently under construction at Full Circle Dairy in Lee, Florida. The facility is designed to convert dairy cow manure into an average of 100,000 dekatherms annually, with the first injection of RNG projected to occur in 2024. The project’s $29.6 million capital investment includes the RNG facility, a 1MW solar array and a Company-owned 1.5-mile pipeline to bring the gas to market.</t>
  </si>
  <si>
    <t>FPU Renewables</t>
  </si>
  <si>
    <t xml:space="preserve">https://www.dynamic-renewables.com/phase1-projects
</t>
  </si>
  <si>
    <t>Dynamic Renewables</t>
  </si>
  <si>
    <t>Facility will process 240,000 gallons of manure daily.</t>
  </si>
  <si>
    <t>http://montaukenergy.com/operations/pico-energy/
https://www.globenewswire.com/news-release/2021/06/15/2247115/0/en/Montauk-Renewables-Inc-Expands-Dairy-Digester-RNG-Project.html
https://www.globenewswire.com/en/news-release/2023/03/28/2636220/0/en/Montauk-Renewables-Inc-Announces-Approval-of-Provisional-California-Air-Resource-Board-Carbon-Intensity-Score-for-Pico-Energy-Site-in-Idaho.html</t>
  </si>
  <si>
    <t>Producing some RNG but undergoing expansion with unclear completion date</t>
  </si>
  <si>
    <t>Project was already producing RNG but is undergoing an expansion. With an expected total project cost of up to $18 million, inclusive of development fees, the project’s digestion capacity is expected to increase by up to 160,000 GPD of additional feedstock supply, with a corresponding potential increase in RNG production by up to 300 MMBtu per day. In March 2023, project received provisional Carbon Intensity Score (CI Score) of -260.56 from California Air Resources Board. This certified CI value will be used to report and generate Low Carbon Fuel Standards credits (LCFS Credits) for fuel quantities from the Pico Energy facility starting with the fourth quarter of 2022 (retroactively).</t>
  </si>
  <si>
    <t>https://www.doverpost.com/news/20200604/bioenergy-devco-chesapeake-utilities-partner-on-renewable-natural-gas-projects https://delawarebusinesstimes.com/news/chesapeake-bioenergy-devco-reneable-deal/ 
https://www.wmdt.com/2019/12/bioenergy-devco-takes-over-perdues-sussex-facility/ 
https://www.bioenergy-news.com/news/bts-biogas-bioenergy-devco-join-forces-on-us-ad-projects/
https://www.delawarepublic.org/post/sussex-county-council-approves-zoning-change-controversial-biogas-proposal
https://www.waste360.com/anaerobic-digestion/bioenergy-devco-advances-expansion-plans
https://dnrec.alpha.delaware.gov/public-hearings/bioenergy/</t>
  </si>
  <si>
    <t>https://www.prnewswire.com/news-releases/chesapeake-utilities-corporation-to-develop-its-first-rng-facility-in-florida-301751834.html 
https://www.chpk.com/rng/
https://documents.dnrec.delaware.gov/Admin/Hearings/2022-P-MULTI-0012/20220927-BDC-Workshop.pdf
https://documents.dnrec.delaware.gov/dwhs/CAPS/Permits/Resource-Recovery/23-0906-02A-SW-Permit-SW-23-07.pdf
https://documents.dnrec.delaware.gov/Air/permits/JGM23074-BioEnergy-Development-Group-LLC-Permit-APC-2022_0049-Final-9.6.23.pdf
https://documents.dnrec.delaware.gov/Water/Permits/2023-09-06-Wastewater-Construction-Permit-BioDev-WPCC-3007-22.pdf</t>
  </si>
  <si>
    <t>https://www.hollandsentinel.com/story/business/agricultural/2022/04/28/company-turn-west-michigan-farm-manure-into-vehicle-gas/9552008002/</t>
  </si>
  <si>
    <t>Part of a project by BerQ sourcing manure biogas from four farms. The gas will be stored and transported to a gas meter tap at Sandy View Farms in Hamilton, where it will be sent into a pipeline.</t>
  </si>
  <si>
    <t>BerQ</t>
  </si>
  <si>
    <t>~2200</t>
  </si>
  <si>
    <t>~2500</t>
  </si>
  <si>
    <t>Maple Row Dairy (Red Leaf RNG)</t>
  </si>
  <si>
    <t>Brightmark RNG Holdings LLC</t>
  </si>
  <si>
    <t>Dairy manure to pipeline RNG project. One of five projects in western Michigan as a JV between Brightmanrk and Chevron.</t>
  </si>
  <si>
    <t>May 31 2023</t>
  </si>
  <si>
    <t>https://www.wastetodaymagazine.com/news/brightmark-chevron-joint-venture-five-anaerobic-digestion-farm-projects-michigan/
https://www.woodtv.com/news/montcalm-county/west-michigan-farms-putting-waste-to-work-as-fuel/</t>
  </si>
  <si>
    <t xml:space="preserve">https://www.mymalonetelegram.com/top_stories/45-million-expansion-project-at-malone-dairy-farm-has-eco-friendly-features/article_f4988726-b738-5f70-adc8-91c4a22e237b.html
</t>
  </si>
  <si>
    <t xml:space="preserve">Rev LNG </t>
  </si>
  <si>
    <t>$20 million RNG project on top of $25 million project to install cow milking machine, vieiwing area, etc.</t>
  </si>
  <si>
    <t>https://www.thepublicopinion.com/story/news/local/2022/12/13/demand-for-natural-gas-is-high-local-dairy-farms-could-provide-relief/69638682007/</t>
  </si>
  <si>
    <t>Victory Farms Renewable Energy is a freestanding project with two digesters and 5,000 head of dairy cattle. This operation is expected to produce over 460 MMBtu of renewable natural gas per day.</t>
  </si>
  <si>
    <t>Tri-Cross Renewable Energy, freestanding with two digesters and 5,000 head of cattle, will produce over 454 MMBtu.</t>
  </si>
  <si>
    <t>https://pinecreekrng.com/projects/lamb-weston/
https://www.cngc.com/cascade-natural-gas-pine-creek-rng-lamb-weston-richland-partner-on-renewable-natural-gas-project/</t>
  </si>
  <si>
    <t>Potato processing residues</t>
  </si>
  <si>
    <t>Agricultural biogas recovery system - Lamb Weston facility processes nearly 1 billion pounds of potatoes each year with a consistent waste stream. Digester gas is being co-injected into the same gas pipeline interconnect as the Horn Rapids Landfill project: Cascade’s distribution system, which in turn reduces the amount of traditional natural gas used by Cascade’s customers.
It’s expected that the landfill and Lamb Weston’s agricultural biogas recovery system will produce more than 2.5 million therms of RNG annually, which is equivalent to the natural gas used by approximately 4,173 Washington homes each year.</t>
  </si>
  <si>
    <t>This plus Horn Rapids Landfill RNG project will have 250,000</t>
  </si>
  <si>
    <t>This plus Lamb Weston ag RNG project will have 250,000</t>
  </si>
  <si>
    <t>https://www.cngc.com/cascade-natural-gas-pine-creek-rng-lamb-weston-richland-partner-on-renewable-natural-gas-project/</t>
  </si>
  <si>
    <t>Amp Americas</t>
  </si>
  <si>
    <t>4,000 </t>
  </si>
  <si>
    <t>continuous stir tank reactor (CSTR) </t>
  </si>
  <si>
    <t>Project will convert approximately 90,000 gallons of dairy waste per day.</t>
  </si>
  <si>
    <t>https://www.waste360.com/fuel/construction-underway-new-amp-americas-dairy-rng-facility-wisconsin</t>
  </si>
  <si>
    <t>Three Petals RNG (Novilla RNG)</t>
  </si>
  <si>
    <t>Red Leaf RNG (Novilla RNG)</t>
  </si>
  <si>
    <t>http://biomassmagazine.com/articles/14681/wisconsin-dairy-manure-ad-project-wins-funding  http://www.jsonline.com/story/news/politics/2017/09/15/wisconsin-psc-earmarks-15-million-harness-manure-into-energy-brown-county/661343001/  http://apps.psc.wi.gov/pdffiles/News%20Releases/2017/09%20-%20September/BiodigesterRFPAnnouncement_091517.pdf   http://apps.psc.wi.gov/pages/viewdoc.htm?docid=331490 https://mrec.org/files/2018/03/2018-Nemke.BrownCountyDigesterProject.pdf || https://www.wpr.org/sites/default/files/viewdoc_43.pdf
http://www.wrightstownspirit.com/?p=6990 https://www.orix.com/?news=orix-corporation-usa-makes-equity-investment-in-wisconsin-renewable-natural-gas-project&amp;filter
https://www.dynamicgrp.us/bc-organics
https://finance.yahoo.com/news/orix-corporation-usa-makes-equity-130000850.html https://www.wbay.com/2021/06/24/bc-organics-breaks-ground-its-anaerobic-digestion-facility/
https://miron-construction.com/project/bc-organics-biogas-facility/</t>
  </si>
  <si>
    <t>Projected 12/31/2023</t>
  </si>
  <si>
    <t>OPERATIONAL AS OF 12/31/2023</t>
  </si>
  <si>
    <t>UNDER CONSTRUCTION AS OF 12/31/2023</t>
  </si>
  <si>
    <t>Unknown but for Transportation</t>
  </si>
  <si>
    <r>
      <t xml:space="preserve">BioCNG purification equipment along with a dryer, twin 50-horsepower Quincy compressors and dispensors supplied by ANGI will be installed. The CNG will be used to operate 50 light duty city vehicles.As of June 2017, 50 vehicles is a target; currently fueling two pickups, with 17 medium duty CNG trucks on order. </t>
    </r>
    <r>
      <rPr>
        <b/>
        <sz val="8"/>
        <color theme="1"/>
        <rFont val="Calibri"/>
        <family val="2"/>
      </rPr>
      <t xml:space="preserve">2023 update - using membrane upgrading technology.  </t>
    </r>
  </si>
  <si>
    <r>
      <t>WWTP built with 550k capacity anaerlbic digester. This project will double that capacity. Will process roughly 30 TPD of food waste from local industry, including poultry, cheese and brewing, along with roughly 18,000 gallons per day of biosolids, doubling current biogas output. As of end 2018, digester expansion complete, food waste handling well under way; final phase of construction will be gas upgrading and fueling station.  Completion end Q2 2019. RNG will be used to fuel about 19 diesel trucks converted to CNG; these trucks include both Petaluma's waste collection contractor and some City vehicles. 
Gas upgrading tehcnology provided by Unison Solutions.</t>
    </r>
    <r>
      <rPr>
        <b/>
        <sz val="8"/>
        <color theme="1"/>
        <rFont val="Calibri"/>
        <family val="2"/>
      </rPr>
      <t xml:space="preserve"> 2023 update - using membrane upgrading technology.  </t>
    </r>
  </si>
  <si>
    <t>Eloy Circularity Center will convert manure into RNG that will be purchased by Chevron for vehicle fuel. After biogas extraction, the remaining soil nutrients will be returned to the farmers for use as fertilizer and water for forage crops for their cows.</t>
  </si>
  <si>
    <t>The Morenci Circularity Center in Morenci, Michigan, will convert 133,000 gallons of manure per day into RNG per year. Will prevent excess nitrogen and phosphorus from escaping into local air and water, reducing phosphorus runoff alone by 60%.</t>
  </si>
  <si>
    <t>The Greenville Circularity Center will convert 75,000 gallons of manure per day into RNG each year. Renewable products generated by the center include biofertilizer, digested dairy fiber for use as cow bedding or as a peat moss substitute, and irrigation water.</t>
  </si>
  <si>
    <t>Energyneering Solutions lists this as one of its active landfill RNG projects.</t>
  </si>
  <si>
    <t>As of 2023, biogas (45,000 MMBTU) is going to boiler for plant; no mention of RNG.</t>
  </si>
  <si>
    <t>https://journalstar.com/news/local/govt-and-politics/city-hopes-to-make-big-bucks-by-converting-sewage-to/article_a172a213-e69b-5f15-9877-9e1edf5ab14f.html  https://journalstar.com/news/local/govt-and-politics/city-biogas-from-wastewater-plant-will-relieve-ratepayers-environment/article_9e569d8f-825e-5f99-9c31-04f506a975e7.html https://journalstar.com/news/local/govt-and-politics/biogas-turned-into-clean-vehicle-fuel-begins-flowing-at-lincoln-wastewater-treatment-plant/article_7d88d755-a130-5854-a50f-7ad2a9c942d4.html
https://www.lincoln.ne.gov/city/ltu/wastewater/treatment.htm
https://journalstar.com/news/local/govt-and-politics/city-35m-wastewater-expansion-in-lincoln-should-follow-same-construction-process-as-pba/article_e082cd3c-d627-11ed-b88a-f70e500086bf.html</t>
  </si>
  <si>
    <t>Plant has histroically been doing CHP. CHP system has basically reached end of life, and they are going to switch over to RNG production. Have finished studies and planning, should be in construction Q2 2019, hope to be pushing into the pipeline one year later. Initially will export gas to Black Hills pipeline for vehicle market, would eventually like to be using it in Lincoln's municipal bus fleet, which currently has 37 CNG vehicles and may ultimately have 70. No codigestion, can't afford to deal with RIN split issue. Using membrane filtration system. Are stuck with Black Hills for the moment, also in talks with Clean Energy Fuels and Blue Source. 2020 update, bus fleet is planning to move to electricity, but htere may yet be some out let there. For moment looking at LCFS in RINs. Pipeline and revenue. $54.5 million expansion of plant capacity from 27 to 41 million gallons per day underway in 2023.</t>
  </si>
  <si>
    <t>http://www.lacsd.org/wastewater/wwfacilities/jwpcp/compressed_natural_gas_fueling_facility.asp
https://www.biocycle.net/sanitation-districts-gear-food-waste-codigestion/
https://www.biocycle.net/2017/01/12/los-angeles-county-wrrf-embraces-codigestion/
https://www.waste360.com/anaerobic-digestion/los-angeles-combine-food-waste-biosolids-massive-energy-project https://www.biocycle.net/sanitation-districts-gear-food-waste-codigestion/
https://www.treasurer.ca.gov/caeatfa/meeting/2023/0516/4c2.pdf</t>
  </si>
  <si>
    <t>38,367 metric tons of CO2e per year</t>
  </si>
  <si>
    <t>https://www.epa.gov/sites/production/files/2016-02/documents/17jul12_bennapowerproducers.pdf   http://www.kerncountywaste.com/disposal-sites/bena || 2020  https://www.epa.gov/lmop/project-and-landfill-data-state
https://www.bidnet.com/closed-government-contracts/landfill-gas-utilization-project-at-bakersfield-metro--bena--landfill?itemId=809884337</t>
  </si>
  <si>
    <t>Upgrading gas that is currently being flared for injection into PG&amp;E pipeline.  Will continue LFG-to-electricity operation in tandem. Timeline unclear, LMOP date of 12/31/23 is dubious.</t>
  </si>
  <si>
    <t>https://wastebits.com/locator/location/forward-inc-landfill  https://www.sjgov.org/commdev/cgi-bin/cdyn.exe/file/Planning/Environmental%20Impact%20Reports/Forward%20Landfill%202018%20Draft%20Supplemental%20EIR.pdf
https://www.recordnet.com/news/20190812/ag-leaders-object-to-plan-to-expand-mantecas-forward-landfill  https://www.treasurer.ca.gov/caeatfa/meeting/2021/20210316/staff/4.G.20.pdf
https://static1.squarespace.com/static/650899879bfe4b7b041684f5/t/65302c1288405e4cb6729a3c/1697655826597/Ameresco+Cutsheet.pdf</t>
  </si>
  <si>
    <t>Landfill: Republic Services; upgrading: Ameresco</t>
  </si>
  <si>
    <t>Roxana</t>
  </si>
  <si>
    <t>https://naturalheritage.illinois.gov/content/dam/soi/en/web/naturalheritage/permits/documents/ita-conservation-plans/conservation-plans/267-cp.pdf
https://www.theintelligencer.com/news/article/threatened-frogs-focus-revised-pipeline-plan-18254272.php
https://www.ameresco.com/city-of-alton-il-and-ameresco-move-forward-on-5mw-solar-project/</t>
  </si>
  <si>
    <t>The Enable MRT Ameresco Landfill Project, expected to take about a year starting in 2024, will install about seven miles of 4.5-inch steel pipe from the Ameresco RNG facility - currently under construction - at Republic Services’ landfill in Roxana to the existing MRT 18-inch East Line in Madison County.
If the pipeline project is not constructed, the Ameresco RNG Facility will not have a distribution option for its renewable natural gas, reducing the beneficial impacts such as construction jobs, reduced landfill emissions, and new resources for renewable natural gas. Ameresco would look for another pipeline company to build a pipeline to their RNG facility to receive the natural gas it produces. Due to the delays of that process, Ameresco would likely utilize a virtual pipeline in the meantime, which involves trucking the gas to a pipeline that can accept gas in that method. This would result in additional air emissions due to trucking activity which would adversely affect local air quality.
Ameresco also building a 5-7 MW solar array on the closed landfill site.</t>
  </si>
  <si>
    <t xml:space="preserve">Creates high BTU RNG injected into the pipeline infrastructure. Uses membrane separation technology. Capacity 2670 MMBtu/day. 8/31/22, Montauk announces plans to construct second upgrading facility, projected 40% increase in processing capacity or additional 2100 MMBTU per day.  Expansion expected to complete in 2024 (LMOP says 12/31/24), $25-$30MM, driven by inceases in projected biogas production. </t>
  </si>
  <si>
    <t>https://www.cdfa.ca.gov/oefi/ddrdp/docs/2022_DDRDP_ApplicationsReceived.pdf
https://www.cdfa.ca.gov/oefi/DDRDP/docs/2022_DDRDP_ProjectsAwarded.pdf
https://www.cdfa.ca.gov/oefi/DDRDP/docs/DDRDP_Project_Level_Data.pdf
https://www.cdfa.ca.gov/oefi/ddrdp/docs/2023_ddrdp_legislative_report.pdf</t>
  </si>
  <si>
    <t>Vehicle Fuel</t>
  </si>
  <si>
    <t>Lakeshore Dairy RNG (Merced Cluster)</t>
  </si>
  <si>
    <t>3,001-5,000 according to CA DDRDP</t>
  </si>
  <si>
    <t xml:space="preserve">Lakeshore Dairy Digester Project is a new covered lagoon digester at the Lakeshore Dairy in Kings County, California. The project is owned by Lakeshore Dairy and and will be trucking biomethane to the Merced Pipeline Cluster. This cluster's initial eight digesters and upgrading facility are operational and delivering biomethane to PG&amp;E via the operational utility pipeline interconnect. The biogas from this new digester will be upgraded to biomethane onsite at the dairy and then transported via truck to the Merced upgrading facility and utility interconnection. At the Merced facility, the biomethane will be offloaded and injected into the utility pipeline for delivery to contracted CNG fueling stations in the Central Valley and the state. The project is developed by Maas Energy Works but not on their list of completed projects as of early November 2023, nor on AgSTAR January 2023 list. Selected for $1.6 million award by CA DDRDP in 2022, which claims start date 2/15/23 and completion date 2/14/2025.
</t>
  </si>
  <si>
    <t>West Branch RNG (Hoogland, Maassen, Roorda)</t>
  </si>
  <si>
    <t>Construction began Q1 2023</t>
  </si>
  <si>
    <t>Novilla RNG</t>
  </si>
  <si>
    <t>8,000 from all three farms</t>
  </si>
  <si>
    <t>https://www.iowafarmbureau.com/Article/Dairies-partner-to-provide-natural-gas-to-Sioux-Center
https://www.novillarng.com/projects-2
https://www.iowapublicradio.org/environment/2023-01-11/sioux-center-looks-to-local-dairy-farms-for-renewable-energy
https://www.oilmonster.com/article/sioux-center-city-council-approved-new-natural-gas-line/4061</t>
  </si>
  <si>
    <t>Novilla is financing the $20 million approach and oversee construction of the facilities, hiring local contractors. West Branch RNG, a subsidiary of Novilla, is installing one above-ground complete mix digester each at the Maassen Dairy and Hoogland Dairy. Manure from the Roorda dairy will be pumped in underground pipes to the Maassen operation, where manure from both dairies will be combined and pumped into the digester, mixed and heated. Methane gas will be collected from the slurry over 20 days, then injected into a raw biogas pipeline and sent to the Hoogland operation, where a similar process is taking place. The combined biogas will be cleaned, scrubbed, compressed, checked for quality and pushed via pipeline to Sioux Center for city use. The remaining liquids will be transported to an outdoor lagoon as much cleaner water, and the remaining concentrated solids will be returned as high-quality, nutrient-dense fertilizer to be land applied, much like is currently being done. Project will have a greenhouse gas emissions removal equivalent to 8,800 cars from the road. The 8-mile city-to-dairy pipeline connection costs $5.24 million, with Sioux Center paying $200,000 of it and West Branch paying the rest.</t>
  </si>
  <si>
    <t>Perdue Farms Cromwell</t>
  </si>
  <si>
    <t>Perdue Farms Lewiston</t>
  </si>
  <si>
    <t>https://corporate.perduefarms.com/news/press-releases/perdue-farms-announces-partnership-with-greengasusa/
https://corporate.perduefarms.com/news/press-releases/perdue-farms-extends-partnership-with-greengasusa/
https://www.afia.org/news/afia-blog/perdue-s-partnership-with-greengasusa-is-making-a-mark-in-the-field-of-sustainability/
https://corporate.perduefarms.com/responsibility/environment/#partnership
https://corporate.perduefarms.com/news/press-releases/perdue-farms-lewiston-nc-plant-earns-greencircle-re-certification/</t>
  </si>
  <si>
    <t>Agricultural and food processing wastewater</t>
  </si>
  <si>
    <t>Bertie</t>
  </si>
  <si>
    <t xml:space="preserve">Facility has two covered lagoons with about 45 million gallons of wastewater. The biogas is captured and upgraded to RNG on-site. It is then injected into specially designed tractor trailers, which transport it to a GreenGas RNG pipeline interconnection hub and from there to existing natural gas pipelines for use. In the first two months of this project, over 10,500 metric tons of CO2e were captured and converted to RNG. This is the GHG equivalent of eliminating 1,181,500 gallons of gasoline being consumed. Through the first six months of operation, more than 40,000 metric tons of CO2e were captured and converted to RNG – the GHG equivalent of eliminating 4.5 million gallons of gasoline being consumed. [Total gasoline gallon equivalents, MMBTUs, and CO2 emissions avoided are calculated form the latter figures.] </t>
  </si>
  <si>
    <t>Ohio</t>
  </si>
  <si>
    <t>This is the second RNG project between Perdue Farms and GreenGasUSA. GreenGasUSA will help Perdue with improvements to their existing digester, facilitating the removal of digestate to improve digester performance, and bring renewable energy to the Kentucky utility grid. This project is slated for completion in Q4 2023 and expected to reduce the operation’s GHG emissions by 5,000 MTCO2e per year. The previous AD was used for CHP - a 999kW generator plus a 3.2 MMBtu/hour hot water boiler - with an efficiency of 82%, with some electricity sold under a Power Purchase Agreement (PPA) to TVA.</t>
  </si>
  <si>
    <t>https://corporate.perduefarms.com/news/press-releases/perdue-farms-extends-partnership-with-greengasusa/
http://www.heatispower.org/wp-content/uploads/2019/03/CEO-CHP-Perdue-Flier-3-19-19.pdf</t>
  </si>
  <si>
    <t>Construction began Q2 2022</t>
  </si>
  <si>
    <t>Summit Natural Gas Clinton (Flood Brothers Farm)</t>
  </si>
  <si>
    <t>This is the first time in Maine that gas produced from a digester is being used to heat homes and businesses, via pipeline injection. Digester and upgrading located at Flood Brothers Farm in Clinton, agglomerating manure from 6 area dairy farms. Returning digestate to farmers in exchange for manure. Dry digestate to be used as bedding.  Summit is partnering with Flood Brothers Farm, Piper Dairy, Wright Place Farm, Taylor Dairy Farm, Somerset Farm, and Gold Top Farm to get organic waste for the biodigester. Project is ground up in that both digester and upgrading will be built. The project is expected to produce about 45% of Summit's residential demand. In addition to the gas that will be used by Summit Natural Gas of Maine, the renewable attributes from the digester will also be sold to third party companies to aid in meeting their goals for emissions reduction (according to a tax exemption application filed by Peaks Renewables, these renewable attributes will comprise 90% of project revenue, versus only 10% from sales of natural gas). Summit recieved $4,977,437 in US DOE funding for the RNG project.</t>
  </si>
  <si>
    <t>https://www.mainepublic.org/post/maine-natural-gas-company-wants-turn-cow-manure-renewable-energy
https://bangordailynews.com/2019/05/23/business/maine-natural-gas-company-has-big-plans-to-turn-cow-manure-into-renewable-energy/
https://americanbiogascouncil.org/summit-begins-offering-customers-renewable-choice-in-maine/ https://www.centralmaine.com/2019/05/23/cow-power-maine-natural-gas-company-partnering-with-clinton-dairy-farms-to-convert-manure-to-biogas-for-heating-cooking/
https://summitutilitiesinc.com/Article/412/summit-peaks-renewables-announces-maine-s-first-community-renewable-natural-gas-dairy-digester-is-delivering-gas#:~:text=The%20RNG%20dairy%20digester%2C%20located,meet%20Summit's%20gas%20quality%20standards.
https://peaksrenewables.com/clinton-digester
https://peaksrenewables.com/our-dairy-partners
https://www.maine.gov/dep/ftp/AIR/licenses/ch115/A1160BX.pdf
https://www.mainepublic.org/climate/2023-09-22/maines-first-dairy-digester-turns-cow-manure-into-renewable-natural-gas
https://pingree.house.gov/news/documentsingle.aspx?DocumentID=3828</t>
  </si>
  <si>
    <t>DVO, Inc. (formerly GHD, Inc.) [Project Developer, System Designer, System Design Engineer]; Peaks Renewables, Inc. [Project Developer]; Regenis [Project Developer]</t>
  </si>
  <si>
    <t>The Athena renewable natural gas (RNG) project will include the construction of new anaerobic digesters on three Minnehaha County farms: Boadwine Farms, Pioneer Dairy, and Moody Dairy. The 11,710 cows that live on these farms produce a total of 55.6 million gallons of manure each year. After the project is complete, the methane generated by this manure will be captured, cleaned, and converted into RNG, which can be used for transportation, cooking, or electricity. The gas form the three farms will be piped to a central upgrading and injection point, where it will be injected into the local interstate pipeline system for use statewide.</t>
  </si>
  <si>
    <t>Buckhorn RNG at Lynn Dairy (AlterAg)</t>
  </si>
  <si>
    <t>Q2 2024</t>
  </si>
  <si>
    <t>Contracted in April 2023</t>
  </si>
  <si>
    <t>Buckhorn RNG (subsidiary of Novilla RNG)</t>
  </si>
  <si>
    <t>Project will produce ~500,000 MMBTU per year. As of April 2022 Duke Energy became an investor in this project. In January 2023, sustainability investment firm Pacolet Milliken completed a joint venture (JV) investment with renewable biogas assets developer Evensol with Duke Energy. Went operational in September 2023, providng fuel to commercial fleet vehicles.</t>
  </si>
  <si>
    <t>https://usgasvehicles.com/en/brightmark-to-build-south-dakotas-first-ever-dairy-rng-project/
https://www.brightmark.com/work/athena-project/
https://www.bioenergy-news.com/news/greenlane-signs-7-7-supply-contract-for-brightmark-rng-project/
https://www.bioenergy-news.com/news/brightmark-breaks-ground-on-florida-dairy-rng-project/
https://www.prnewswire.com/news-releases/brightmark-and-chevron-achieve-first-gas-milestone-with-floridas-largest-family-dairy-301907630.html</t>
  </si>
  <si>
    <t>The project includes the construction of new anaerobic digesters at four Larson family dairy farms in Okeechobee County, including two farms owned by Larson Dairy, Inc. and two farms owned by JM Larson, Inc. Gas from the four farms is piped to two upgrading and injection points, one to the north and one to the south. PSA upgrading technology will be provided by Greenlane. The produced RNG is delivered to the local interstate gas pipeline system and used as transportation fuel; the remaining solids are transformed into organic fertilizer.</t>
  </si>
  <si>
    <t xml:space="preserve">Okeechobee Circularity Center (Larson Family Farms) </t>
  </si>
  <si>
    <t>Turkey Creek (Montauk Renewables)</t>
  </si>
  <si>
    <t>Electric-Powered, Closed-Loop, Continuous-Feed, Endothermic Energy-Conversion Systems and Methods ("the System" patented by Montauk in 2021)</t>
  </si>
  <si>
    <t>Brightmark Coopersville Circularity Center / Castor Project (Apple Gate Farm, River Ridge Farms, Ottowa Farms, Den Dulk Farm, Beaver Creek Farm?)</t>
  </si>
  <si>
    <t>Q1 2023 startup</t>
  </si>
  <si>
    <t>https://www.northernbiogas.com/portfolio</t>
  </si>
  <si>
    <t>Northern Biogas</t>
  </si>
  <si>
    <t>Above ground complete mix</t>
  </si>
  <si>
    <t>Sunnyside RNG</t>
  </si>
  <si>
    <t>Wi</t>
  </si>
  <si>
    <t>https://www.northernbiogas.com/portfolio
https://www.compressortech2.com/news/northern-biogas-adds-three-dairy-renewable-natural-gas-projects/8026655.article</t>
  </si>
  <si>
    <t xml:space="preserve">Color coding generally applies to numeric values only. </t>
  </si>
  <si>
    <t>Key:</t>
  </si>
  <si>
    <t>References</t>
  </si>
  <si>
    <t>RIN Registrant?</t>
  </si>
  <si>
    <t>Project Developer</t>
  </si>
  <si>
    <t>Macon</t>
  </si>
  <si>
    <t>Howard</t>
  </si>
  <si>
    <t>Providence</t>
  </si>
  <si>
    <t>Florence</t>
  </si>
  <si>
    <t>RNG Disposition</t>
  </si>
  <si>
    <t>Marion</t>
  </si>
  <si>
    <t>Caddo</t>
  </si>
  <si>
    <t xml:space="preserve">Washtenaw </t>
  </si>
  <si>
    <t>Tippah</t>
  </si>
  <si>
    <t>Stark</t>
  </si>
  <si>
    <t>Carter</t>
  </si>
  <si>
    <t>Grimes</t>
  </si>
  <si>
    <t>Klickitat</t>
  </si>
  <si>
    <t>Kanawha</t>
  </si>
  <si>
    <r>
      <t>Produces CNG vehicle fuel for an on-site fueling station used to power Sheriff’s Department cars, light duty trucks and a light duty van, and the solid waste district’s utility trucks. Membrane removes CO2, silica medium removes silica, volatile organic compaunds removed by charcoal-like compound, coconut based medium to remove other VOCs, Sulfatreat to remove H</t>
    </r>
    <r>
      <rPr>
        <vertAlign val="subscript"/>
        <sz val="8"/>
        <color theme="1"/>
        <rFont val="Calibri"/>
        <family val="2"/>
      </rPr>
      <t>2</t>
    </r>
    <r>
      <rPr>
        <sz val="8"/>
        <color theme="1"/>
        <rFont val="Calibri"/>
        <family val="2"/>
      </rPr>
      <t xml:space="preserve">S. 50 cfm LFG produces 250 gallons of gasoline equivalent (GGE)/day; convert LFG to bioCNG vehicle fuel for 1 passenger van, 5 sedans &amp; 10 fleet pick-up trucks. 2018, have upgraded compressors, no impact on production levels, just makes production a bit easier. </t>
    </r>
  </si>
  <si>
    <t>Sioux</t>
  </si>
  <si>
    <t>Barry</t>
  </si>
  <si>
    <t>Ionia</t>
  </si>
  <si>
    <t>Lafayette</t>
  </si>
  <si>
    <t>Green Lake</t>
  </si>
  <si>
    <t>Clark</t>
  </si>
  <si>
    <t>Lancaster</t>
  </si>
  <si>
    <t>Prince George's</t>
  </si>
  <si>
    <t>Wake</t>
  </si>
  <si>
    <t xml:space="preserve">NOT INCLUDED IN PUBLIC RELEASE </t>
  </si>
  <si>
    <t>New Organic Digestion,  Denmark (Formerly Big Ox)</t>
  </si>
  <si>
    <t>BioEnergy Devco Jessup</t>
  </si>
  <si>
    <t>NW Natural/Tyson Foods, Lexington NE</t>
  </si>
  <si>
    <t xml:space="preserve">The projects listed below are expected to be Operational by 12/31/2023. </t>
  </si>
  <si>
    <t>OPERATIONAL
CALENDAR 2023</t>
  </si>
  <si>
    <t>Energy Vision is a 501 (c)(3) environmental research group. Energy Vision’s work was conducted under Argonne Contract No.  0F-60161.</t>
  </si>
  <si>
    <t xml:space="preserve">Also includes information on relative changes from the 2021 database (e.g., number of projects of different types, and projects upgraded or downgraded from one status to another),  </t>
  </si>
  <si>
    <t>Matt Tomich</t>
  </si>
  <si>
    <t xml:space="preserve">Tomich@energy-vision.org </t>
  </si>
  <si>
    <t xml:space="preserve">It includes projects that are known to have been in operation or under construction prior to December 31, 2023, along with previously operational projects now shut down. </t>
  </si>
  <si>
    <r>
      <t xml:space="preserve">It also includes projects that are </t>
    </r>
    <r>
      <rPr>
        <b/>
        <sz val="11"/>
        <color rgb="FF000000"/>
        <rFont val="Calibri"/>
        <family val="2"/>
      </rPr>
      <t>projected to be</t>
    </r>
    <r>
      <rPr>
        <sz val="11"/>
        <color rgb="FF000000"/>
        <rFont val="Calibri"/>
        <family val="2"/>
      </rPr>
      <t xml:space="preserve"> under construction or operational by December 31, 2023.</t>
    </r>
  </si>
  <si>
    <t xml:space="preserve">as well as number and potential production of operational, under construction and planned projects projected to December 31, 2023. </t>
  </si>
  <si>
    <t>from 12/31/2022</t>
  </si>
  <si>
    <t xml:space="preserve">
https://www.cleanenergyfuels.com/press-room/energy-and-bp-broaden-joint-venture-focused-on-renewable-natural-gas-project-development-aimed-at-delivering-lower-carbon-intensity-fuels
https://www.dynamicgrp.us/phase-1
https://biomassmagazine.com/articles/clean-energy-begins-producing-rng-at-south-dakota-project</t>
  </si>
  <si>
    <t>The $38 million project includes three digesters and an upgrading facility. Construction was completed in early December 2023 and RNG injection into the interstate natural gas pipeline system began within weeks. A carbon-intensity score is expected to be assigned to the RNG in the first half of 2024.</t>
  </si>
  <si>
    <t xml:space="preserve">https://www.novillarng.com/projects-2
https://biomassmagazine.com/articles/novilla-rng-begins-construction-at-trillium-hill-farm-project-19153
https://www.linkedin.com/posts/novilla-rng_novillarng-rng-dairy-activity-7125528847030108160-POQ5
</t>
  </si>
  <si>
    <t xml:space="preserve">Alliant Energy provided the interconnect, Schumann Tanks provided the digester, and Unconventional Gas Solutions provided the RNG upgrading system. Novilla originated, permitted, designed, built, operates, and owns the project. Novilla anticipates the RNG produced will be used in CNG vehicles. </t>
  </si>
  <si>
    <t>https://biocng.us/wp-content/uploads/2015/06/Janesville-Fact-Sheet-2015.pdf
https://energy-vision.org/wp-content/uploads/2019/10/EV-RNG-Community-Guide.pdf</t>
  </si>
  <si>
    <t xml:space="preserve">Biogas is routed to BioCNG during off-peak hours to be compressed for vehicle use; excess biogas routed to combined heat and power microturbines. Upgrading system: iron sponges before a Unison gas conditioning skid that chills the gas to remove the moisture, reheats and pressurizes the gas to 100 psi, siloxane removal vessels with super silica gel and carbon based material.  A selective membrane removes CO2. CNG produced is used to fuel 40 municpal pickups and cars. No codigestion. </t>
  </si>
  <si>
    <t>Totals by Feedstock on 12/31/2022</t>
  </si>
  <si>
    <t>Total Projects by Feedstock
on 12/31/2023</t>
  </si>
  <si>
    <t>Change by Feedstock,
12/31/22 to 12/31/2023</t>
  </si>
  <si>
    <t>Planned 
on 12/31/2023</t>
  </si>
  <si>
    <t>Under Construction 
on 12/31/2023</t>
  </si>
  <si>
    <t>Operational
on 12/31/2023</t>
  </si>
  <si>
    <t>Changes by Project Status, 12/31/2023 vs. 12/31/2022</t>
  </si>
  <si>
    <t>2023 End Use Total</t>
  </si>
  <si>
    <t>The status of all projects below is as of 12/31/23-- i.e., based on public information and outreach, projects had the status shown then.</t>
  </si>
  <si>
    <t>PROJECTS BY TYPE &amp; STATUS, 12/31/2023</t>
  </si>
  <si>
    <t>Change 2023 vs. 2022</t>
  </si>
  <si>
    <t>OPERATIONAL PROJECTS BY PRODUCTION, 12/31/2023</t>
  </si>
  <si>
    <t>2023 Totals</t>
  </si>
  <si>
    <t xml:space="preserve">BY STATUS AND FEEDSTOCK 12/31/23 </t>
  </si>
  <si>
    <t>Dairy manure to pipeline RNG project, ultimately to be used in transportation.</t>
  </si>
  <si>
    <t>4,115 </t>
  </si>
  <si>
    <t>https://www.novillarng.com/projects-2
https://biomassmagazine.com/articles/novilla-rng-begins-construction-on-rng-project-in-michigan-19351
https://docs.google.com/spreadsheets/d/1GNpK38WCX-NKa8olaAoSYTaduFWOSPPwBmxLHcG6Pe0/edit#gid=1937674049</t>
  </si>
  <si>
    <t>37,109,639 total gallons of liquid waste per year at farm</t>
  </si>
  <si>
    <t>Atlantic RNG (OPAL Fuels)</t>
  </si>
  <si>
    <t>Landfill, Atlantic County Utilities Authority; RNG facility 50-50 JV between OPAL Fuels and South Jersey Industries</t>
  </si>
  <si>
    <t>Atlantic</t>
  </si>
  <si>
    <t>mid-2025</t>
  </si>
  <si>
    <t>OPAL Fuels and SJI Renewable Energy Ventures (SJI Renewables)</t>
  </si>
  <si>
    <t>nearly 4.8 million</t>
  </si>
  <si>
    <t>https://investors.opalfuels.com/news-releases/news-release-details/south-jersey-industries-and-opal-fuels-announce-signing
https://www.businesswire.com/news/home/20231019061267/en/
https://www.sec.gov//Archives/edgar/data/1842279/000184227923000090/opalfuelsq32023earningsrel.htm</t>
  </si>
  <si>
    <t xml:space="preserve">A 50-50 joint venture at ACUA's 360-acre Environmental Park bewteen OPAL Fuels and South Jersey Industries (SJI) - through subsidiary SJI Renewable Energy Ventures (SJI Renewables) - to develop, construct, own and operate this RNG facility. The fuel will be pipeline injected and will be used to displace diesel fuel in SJI's heavy-duty vehicles. </t>
  </si>
  <si>
    <t>Polk County North Central Landfill (OPAL Fuels)</t>
  </si>
  <si>
    <t>Landfill, Polk County; RNG facility, OPAL fuels</t>
  </si>
  <si>
    <t>https://www.sec.gov//Archives/edgar/data/1842279/000184227923000090/opalfuelsq32023earningsrel.htm
https://www.businesswire.com/news/home/20230809669778/en/OPAL-Fuels-Reports-Second-Quarter-2023-Results
https://www.marketscreener.com/quote/stock/OPAL-FUELS-INC-141472379/news/OPAL-FUELS-INC-Entry-into-a-Material-Definitive-Agreement-Financial-Statements-and-Exhibits-for-43781083/
https://www.luminatellc.com/luminate-serves-as-independent-engineer-for-opal-fuels-new-500-million-senior-secured-credit-facility/
https://finance.yahoo.com/news/q2-2023-opal-fuels-inc-070536861.html
https://www.insidermonkey.com/blog/opal-fuels-inc-nasdaqopal-q3-2023-earnings-call-transcript-1223798/2/</t>
  </si>
  <si>
    <t>Construction began in June 2023. Polk County will receive payments and royalties from the sale of RNG produced by the Facility, with the contract valid through 2042. Luminate is serving as the independent engineer for the project. Project will earn RINs for use in transportation.</t>
  </si>
  <si>
    <t>Renewable Organics Management?; OPAL Fuels</t>
  </si>
  <si>
    <t xml:space="preserve">OPAL Fuels owns 100% of the gas rights of this private dairy manure to RNG project. OPAL Fuels investor presentation from May 2022 put project's capex at ~$43 million, with ~$13 million in EBIDTA. </t>
  </si>
  <si>
    <t xml:space="preserve">OPAL Fuels owns 100% of the gas rights of this private dairy manure to RNG project. OPAL Fuels investor presentation from May 2022 put project's capex at ~$39 million, with ~$16 million in EBIDTA. </t>
  </si>
  <si>
    <t>https://www.renewableom.com/single-project
https://static.seekingalpha.com/uploads/sa_presentations/969/95969/original.pdf
http://edgar.secdatabase.com/151/121390022080180/filing-main.htm
https://stocklight.com/stocks/us/nasdaq-opal/opal-fuels/annual-reports/nasdaq-opal-2023-10K-23771486.pdf</t>
  </si>
  <si>
    <t>First half of 2024, ramping up through second half of 2025</t>
  </si>
  <si>
    <t>capacity of "120,000 hog spaces per day"</t>
  </si>
  <si>
    <t>73,000 tons/year capacity</t>
  </si>
  <si>
    <t xml:space="preserve">Montauk, through a wholly owned, locally focused subsidiary, will operate the project, which is designed to convert swine waste into renewable electricity, RNG, and other renewable commodities such as biochar fertilizer. The 15 year Agreements signed in August 2023 call for Duke to buy the electricity as well as the associated swine waste Renewable Energy Certificates (RECs) from the conversion which is contracted to be up to 47,000 RECs per year once the facility is fully commissioned. The project initially has the potential to generate renewable energy sufficient to power more than 5,000 homes and businesses throughout eastern North Carolina and facilitate Duke in meeting its swine waste requirement under the Renewable Energy Portfolio Standard law in North Carolina. Montauk expects to have the first of eight processing reactor trains operational during the first half of 2024. It is planning for a rolling commissioning schedule for the remaining processing lines beginning in the second half of 2024 and continuing through the second half of 2025. The first phase is expected to produce approximately 45,000 to 50,000 megawatt hour equivalents through a combination of 190,000 to 200,000 MMBtus and 25,000 to 30,000 megawatt hours. The first phase is also expected to produce approximately 17,000 to 20,000 tons of charged soil enhancement annually. </t>
  </si>
  <si>
    <t>Yes - 25,000 to 30,000 megawatt hours in the first phase</t>
  </si>
  <si>
    <t>https://electricenergyonline.com/article/energy/category/biofuel/83/1034486/montauk-renewables-inc-announces-agreements-expanding-waste-to-renewable-energy-in-north-carolina.html
https://ir.montaukrenewables.com/news-releases/news-release-details/montauk-renewables-awarded-patent-near-zero-emissions-renewable
https://biomassmagazine.com/articles/montauk-signs-agreement-with-duke-energy-releases-q2-results-20303
https://ir.montaukrenewables.com/news-releases/news-release-details/montauk-renewables-inc-announces-agreements-expanding-waste
https://finance.yahoo.com/news/montauk-renewables-inc-nasdaq-mntk-151327187.html</t>
  </si>
  <si>
    <t>Loess Hills Regional Sanitary Landfill</t>
  </si>
  <si>
    <t>Iowa Waste Services</t>
  </si>
  <si>
    <t>Mills</t>
  </si>
  <si>
    <t>~1780</t>
  </si>
  <si>
    <t>Waste Connections, ESI</t>
  </si>
  <si>
    <t>https://www.opinion-tribune.com/news/mills-county-landfill-gas-being-processed-renewable-energy
https://www.iawaste.com
https://www.linkedin.com/posts/energyneeringsolutions_esi-landfill-biogas-activity-7084881980730863616-0Ksg?trk=public_profile_like_view</t>
  </si>
  <si>
    <t>Landfill gas from 76 gas wells scattered across the landfill is processed on-site, then goes through an interconnect station owned by Kinder Morgan and on to a BP gas pipeline. Initially, the facility will  process 1,500 cfm landfill gas into RNG. Landfill officials estimate that within 15 years, the production rate will increase to 4,000 cfm, generating enough renewable energy to meet the needs of nearly 14,000 Iowa homes per year. Project was $35 million and two years in the making.</t>
  </si>
  <si>
    <t>https://pacificag.com/sunnyside-rng/
https://www.yakimaherald.com/news/local/lower_valley/sunnyside-oks-agreement-to-build-biomethane-plant-at-port/article_b7631a1a-70c9-11ed-80f7-47c5d43ef634.html https://www.yakimaherald.com/news/local/lower_valley/proposed-biomethane-plant-in-sunnyside-could-bring-benefits-but-environmental-advocates-have-concerns/article_bbe50342-88b5-11ed-b511-1354c0a89051.html https://www.sunnysidesun.com/news/port-of-sunnyside-finalizes-sale-with-pacific-ag/article_08a38ea6-e46e-11ed-a19c-c7f882580248.html
https://www.sunnysidesun.com/news/business/sunnyside-renewable-natural-gas-project-awarded-several-grants/article_c332ea5a-750a-11ee-91f8-e35baea053a0.html</t>
  </si>
  <si>
    <t xml:space="preserve">Project will divert dairy manure from the lagoons of 15-20 medium to small dairies and crop waste from the surrounding area. The RNG will be injected into the interstate pipeline system and will replace fossil-based diesel. Press item 12.4.2022, Sunnyside City Council agrees to help build infrastructure for new plant. Cost of infrastructure- sewage, water, roadway and other- estimated at $12 million. In January 2023, Port of Sunnyside Commissioner Jay Hester said planning for the park near Sunnyside-Mabton Road has begun, and said he's still confident the sale will be finalized by 2023 and the facility will be constructed by 2024. Pacific Ag would invest around $120 million in building the facility, Hester said. April 21, 2023 - Pacific Ag finalized sale of property for RNG site at port of Sunnyside. </t>
  </si>
  <si>
    <t>Southeastern Public Service Authority Regional Landfill (Terreva)</t>
  </si>
  <si>
    <t xml:space="preserve">Southeastern Public Service Authority </t>
  </si>
  <si>
    <t>Late August 2023</t>
  </si>
  <si>
    <t>Terreva Renewables</t>
  </si>
  <si>
    <t>https://www.suffolknewsherald.com/2023/10/25/spsa-terreva-celebrates-new-renewable-gas-facility/
https://spsa.com/application/files/5616/9522/1933/Board_Agenda_-_September_2023.pdf</t>
  </si>
  <si>
    <t>Figures come from RNG Coalition. Says being used for transportation fuel.</t>
  </si>
  <si>
    <t>$20 million investment to produce RNG from landfill gas and inject it into a gas pipeline, ultimately for transportation use. SPSA will receive a percentage of the revenue from the RNG each month. Terreva Renewables VP Richard Crowther said "We started making RNG in August. So we’re already producing, and this plant can operate 20 plus years, as close to 24 hours, 7 days a week as we can possibly do it … Most of the RNG produced here will be used as compressed natural gas and vehicles all over the country..." RNG is being injected into the Columbia pipeline.</t>
  </si>
  <si>
    <t>Benson Valley Landfill</t>
  </si>
  <si>
    <t>Republic Services, landfill; Ameresco, RNG facility</t>
  </si>
  <si>
    <t>https://www.wastetodaymagazine.com/news/ameresco-landfill-gas-to-rng-plant-starts-operations-at-republic-landfill/
https://www.businesswire.com/news/home/20231019240572/en/Ameresco-Landfill-Gas-to-Renewable-Natural-Gas-Plant-Operations-Begin-at-Republic-Services’-Benson-Valley-Landfill
https://www.ameresco.com/portfolio-item/benson-valley-landfill-gas-plant-case-study-ameresco/
https://www.spglobal.com/commodityinsights/es/market-insights/latest-news/natural-gas/110923-strong-renewable-fuel-standard-targets-drive-interest-in-rng-projects</t>
  </si>
  <si>
    <t>Facility is capable of processing 2,000 standard cubic feet per minute of raw LFG. Construction began in June 2022 and plant went operational in August 2023. Transportation is the end-use, as indicated by Republic Services VP of innovation and business development Tim Oudman and as noted in LMOP.</t>
  </si>
  <si>
    <t>https://www.businesswire.com/news/home/20211118005349/en/Clean-Energy-Breaks-Ground-on-Renewable-Natural-Gas-Dairy-Digester-in-Joint-Venture-with-TotalEnergies
https://montrose-env.com/content/del-rio-renewable-biofuels-project/
http://biomassmagazine.com/articles/18521/totalenergies-clean-energy-begin-construction-of-biogas-unit
https://www.businesswire.com/news/home/20230124005319/en/
https://ngtnews.com/texas-renewable-natural-gas-facility-is-up-and-running
https://www.naturalgasintel.com/clean-energy-fuels-progresses-110-mmcf-of-rng-dairy-projects/</t>
  </si>
  <si>
    <t>https://gevo.com/
https://investors.gevo.com/news/gevo-secures-biogas-supply-and-receives-commitment-letter-for-financing
https://investors.gevo.com/news/gevo-to-sell-renewable-natural-gas-to-bp
http://biomassmagazine.com/articles/16395/gevo-discusses-plans-for-hydrocarbon-rng-production
https://www.yahoo.com/now/gevo-begins-startup-renewable-natural-140000872.html
https://www.renewableenergymagazine.com/biogas/gevo-secures-biogas-supply-and-receives-commitment-20200115  https://www.startribune.com/biofuel-maker-gevo-idles-its-luverne-plant-terminates-30-employees/569295732/
http://www.ethanolproducer.com/articles/17170/gevoundefineds-luverne-facility-to-remain-idle
https://www.globenewswire.com/news-release/2021/04/15/2211221/23976/en/Gevo-s-RNG-Project-Achieves-Financial-Closing.html https://investors.gevo.com/_resources/presentations/corporate-presentation.pdf?v=0.078https://www.sec.gov/Archives/edgar/data/1392380/000143774921009027/ex_240957.htm
https://gevo.com/location/rng-plant/
https://www.globenewswire.com/en/news-release/2023/11/13/2779504/23976/en/Gevo-Reports-Third-Quarter-2023-Financial-Results.html</t>
  </si>
  <si>
    <t xml:space="preserve">Project draws manure from three dairies to create pipeline quality RNG. Some of the RNG will go to their Luverne Minnesota facility (right across Iowa border) for use as energy there.  Project involves anaerobic digesters at the dairies and a central upgrading skid. With an upgrade to the facility completed in Q4 2023, the RNG project now generates approximately 400,000 MMBTU per year, which will be transported to California for use in transportation. </t>
  </si>
  <si>
    <t>https://www.businesswire.com/news/home/20211026005267/en/UGI-and-Global-Common-Energy-Announce-Third-RNG-Project-in-Upstate-New-York
https://www.facebook.com/elvifarmsllc/
https://www.sec.gov//Archives/edgar/data/884614/000088461423000094/ugisept2023ex991.htm
https://www.globenewswire.com/en/news-release/2023/11/16/2781893/0/en/Ammongas-Installs-Biogas-Upgrading-Facility-in-New-York.html
https://sites.google.com/view/el-vifarms/newsletters</t>
  </si>
  <si>
    <t>End 2023</t>
  </si>
  <si>
    <t>Project is ground up, included construction of manure digester and upgrading skid. SEC Filing from November 2023 said that construction had been completed. 55 million cubic feet of RNG annually  will be delivered to a local natural gas pipeline serving the regional distribution system. UGIES’ subsidiary, GHI Energy, will be the exclusive marketer for Cayuga RNG.</t>
  </si>
  <si>
    <t>Nobles Farms</t>
  </si>
  <si>
    <t>https://lfbioenergy.com/lf-bioenergy-commences-new-digester-construction/</t>
  </si>
  <si>
    <t>LF Bioenergy and Martin Energy Group</t>
  </si>
  <si>
    <t>Early 2024</t>
  </si>
  <si>
    <t>New AD being constructed to turn dairy manure into RNG. Once the facility is operating, it will annually contribute a greenhouse gas emission reduction equivalent to removing 1,500 cars from the road.</t>
  </si>
  <si>
    <t>Linden Renewable Energy (LRE) Project</t>
  </si>
  <si>
    <t xml:space="preserve">RNG Energy Solutions </t>
  </si>
  <si>
    <t>Construction to Start Q3 2020</t>
  </si>
  <si>
    <t>RNG Energy Solutions in partnership with SJI and Captona</t>
  </si>
  <si>
    <t>food waste (SSO) and fats, oils, grease (FOG)</t>
  </si>
  <si>
    <t>industrial, commercial, and institutional entities, as well as restaurants and other food service establishments</t>
  </si>
  <si>
    <t>Construction began December 2023; target completion date in Q1 2026</t>
  </si>
  <si>
    <t>The LRE Project will accept a wide range of feedstock, including food waste from industrial, commercial, and institutional entities, as well as grease waste from restaurants and other food service establishments. It will convert up to 1,475 tons of waste to produce up to 3,783 MMBtu/day of RNG— the energy equivalent value of 30,200 gallons of gasoline per day. The LRE Project includes development and construction of multiple off-site food waste pre-processing and depackaging operations in New York City, New York State and New Jersey. Work was slated to begin in December 2023, with a target completion date in Q1 2026. The LRE Project earlier received approval from the NJ Economic Development Authority for $214 million in Industrial Development Revenue Bonds.</t>
  </si>
  <si>
    <t>https://www.rngenergysolutions.com
https://njbiz.com/major-food-waste-to-renewable-natural-gas-facility-set-for-linden/
https://www.globenewswire.com/news-release/2023/12/20/2799284/0/en/SJI-and-Captona-Announce-Construction-of-one-of-the-Largest-Food-Waste-to-RNG-Facilities-in-the-US.html
https://ucnj.org/wp-content/uploads/2020/07/UCUA-Linden-Renewable-Energy-LLC-Plan-Amendment.pdf
https://www.mycentraljersey.com/story/news/local/union-county/2022/02/15/renewable-energy-plant-linden-ready-construction/6784189001/</t>
  </si>
  <si>
    <t>Operational Projects in Calendar 2023</t>
  </si>
  <si>
    <r>
      <t>·</t>
    </r>
    <r>
      <rPr>
        <sz val="7"/>
        <color rgb="FF222222"/>
        <rFont val="Times New Roman"/>
        <family val="1"/>
      </rPr>
      <t xml:space="preserve">         </t>
    </r>
    <r>
      <rPr>
        <b/>
        <sz val="11"/>
        <color rgb="FF222222"/>
        <rFont val="Calibri"/>
        <family val="2"/>
        <scheme val="minor"/>
      </rPr>
      <t>Total operational production:</t>
    </r>
    <r>
      <rPr>
        <sz val="11"/>
        <color rgb="FF222222"/>
        <rFont val="Calibri"/>
        <family val="2"/>
        <scheme val="minor"/>
      </rPr>
      <t xml:space="preserve"> </t>
    </r>
  </si>
  <si>
    <r>
      <t>·</t>
    </r>
    <r>
      <rPr>
        <sz val="7"/>
        <color indexed="63"/>
        <rFont val="Times New Roman"/>
        <family val="1"/>
      </rPr>
      <t xml:space="preserve">         </t>
    </r>
    <r>
      <rPr>
        <b/>
        <sz val="11"/>
        <color indexed="63"/>
        <rFont val="Calibri"/>
        <family val="2"/>
      </rPr>
      <t xml:space="preserve">Total projects, all statuses: </t>
    </r>
    <r>
      <rPr>
        <sz val="11"/>
        <color indexed="63"/>
        <rFont val="Calibri"/>
        <family val="2"/>
      </rPr>
      <t xml:space="preserve"> </t>
    </r>
  </si>
  <si>
    <r>
      <t>·</t>
    </r>
    <r>
      <rPr>
        <sz val="7"/>
        <color indexed="63"/>
        <rFont val="Times New Roman"/>
        <family val="1"/>
      </rPr>
      <t xml:space="preserve">         </t>
    </r>
    <r>
      <rPr>
        <b/>
        <sz val="11"/>
        <color indexed="63"/>
        <rFont val="Calibri"/>
        <family val="2"/>
      </rPr>
      <t xml:space="preserve">Total confirmed operational projects: </t>
    </r>
    <r>
      <rPr>
        <sz val="11"/>
        <color indexed="63"/>
        <rFont val="Calibri"/>
        <family val="2"/>
      </rPr>
      <t xml:space="preserve"> </t>
    </r>
  </si>
  <si>
    <t>F.        DATABASE HIGHLIGHTS FOR RNG PROJECTS FULLY OR PARTIALLY GOING TO TRANSPORTATION (PROJECTED AS OF 12/31/23)</t>
  </si>
  <si>
    <t>Michael de Hoog Dairy (Merced Cluster)</t>
  </si>
  <si>
    <t>Richard Westra Dairy (Lakeside Cluster)</t>
  </si>
  <si>
    <t>https://ww2.arb.ca.gov/sites/default/files/classic/fuels/lcfs/fuelpathways/comments/tier2/b0396_report.pdf</t>
  </si>
  <si>
    <t>https://ww2.arb.ca.gov/sites/default/files/classic/fuels/lcfs/fuelpathways/comments/tier2/b0422_summary.pdf</t>
  </si>
  <si>
    <t>Dairy manure from Richard Westra Dairy is sent to the Decade Dairy Digester, which feeds into the Lakeside Pipeline RNG facility, then on to the SoCal Gas pipeline. It is used for vehicle fuel under California's LCFS, with a carbon intensity score of -418.87. All digestate is ultimately used for crop irrigation.</t>
  </si>
  <si>
    <t>Michael De Hoog Dairy is one of 7 dairy farms in the Merced RNG Cluster, along with Five H Farms, Red Rock Dairy, Vista Verde Dairy, Vander Woude Dairy, Rockshar Dairy, and Double Diamond Dairy.  Ithe biogas from its anaerobically digested manure is upgraded to RNG for use in California transportation, with a carbon intensity score of -418.96.</t>
  </si>
  <si>
    <t>https://www.rocklandcapital.com/new-ownership-group-seeks-permit-reinstatement-for-weld-county-biogas-production-facility/
https://www.newtrient.com/-/media/Newtrient/Files/Technology-Catalog-Files/Case-Studies/Heartland-Renewable-Energy_Biogas-Project-Case-Study.pdf
https://www.greeleytribune.com/2020/08/13/once-controversial-digester-facility-near-lasalle-working-to-reopen-with-new-ownership/
https://www.rngenergysolutions.com/
https://www.linkedin.com/posts/paul-greene-2531764_rng-biogas-anaerobicdigestion-activity-7098631932552380416-ih3_/</t>
  </si>
  <si>
    <t>Dairy manure</t>
  </si>
  <si>
    <t>Three large dairies in Weld County, sending 500,000 gallons per day of manure</t>
  </si>
  <si>
    <t>Formerly known as Heartland, the world's largest co-digestion AD project, Platte River was acquired by RNG Energy Solutions and has been refurbished to run on dairy manure solely. Annual MMBTU figure is based on 90% of stated capaciuty of 14,500 dekatherms per day. Raw biogas is upgraded to pipeline quality gas via two separate Greenland Totara plus wet scrubbers rated at 1,600 (each) dekatherms per day.  RNG used for transportation. First shipment of waste into the renovated project was in August 2023.</t>
  </si>
  <si>
    <t xml:space="preserve">http://biomassmagazine.com/articles/13480/regs-and-bacon    http://www.c2-energy.com/us/  http://www.prnewswire.com/news-releases/carbon-cycle-energy-breaks-ground-on-100-million-biogas-facility-in-north-carolina-300377611.html  http://biomassmagazine.com/articles/14183/swinerton-breaks-ground-on-c2e-biogas-facility-in-north-carolina https://www.npr.org/sections/thesalt/2018/04/17/601857456/in-north-carolina-hog-waste-is-becoming-a-streamlined-fuel-source
https://www.villarifood.com/about/commitment-to-sustainability/
https://news.duke-energy.com/releases/pork-power-gets-new-meaning-with-duke-energy-deal-in-n-c
https://www.biogasworld.com/news/partnership-of-duke-energy-with-carbon-cycle-energy-for-renewable-energy-in-north-carolina/
https://www.businesswire.com/news/home/20220125005383/en/Anaergia-Widens-Scope-of-Activities-With-Carbon-Cycle-at-North-Carolina-Renewable-Energy-Facility
</t>
  </si>
  <si>
    <t>Carbon Cycle North Carolina LLC</t>
  </si>
  <si>
    <t>https://northernconcreteinc.com/northern-concrete-and-new-organic-digestion/   http://www.denmark-wi.org/media/1409/wi-dnr-notice-of-public-hearing.pdf  http://neworganicdigestion.com/  http://www.csrwire.com/press_releases/40585-UPS-Dramatically-Increases-Use-of-Renewable-Natural-Gas
https://nlcenergy.com/
https://nlcenergy.com/emerging-in-wisconsin-a-world-class-renewable-natural-gas-facility/
https://ww2.arb.ca.gov/sites/default/files/classic/fuels/lcfs/fuelpathways/comments/tier2/b0383_summary.pdf</t>
  </si>
  <si>
    <t>Formerly Big Ox Energy; has since been taken over by Big Ox's finance partner, NLC Energy</t>
  </si>
  <si>
    <t>Facility processes over 310,000 gallons per day of manure mostly from dairy cattle (manure trucked in from seven dairy farms) and 50,000 gallons per day of pre-consumer food industry waste using 8 million gallons of anaerobic digestion volume. NLC Energy injects the RNG into its wholly owned injection station that connects to an interstate natural gas pipeline.  This enables NLC Energy to transport and sell its RNG to customers across the nation seeking low carbon alternatives to fossil fuels. The RNG is sued for transportation, earning federal EPA RINS (Renewable Identification Numbers) and California LCFS (Low Carbon Fuel Standard) credits. The RNG was found by CARB to have a carbon intensity of -284.21.</t>
  </si>
  <si>
    <t>Pre-consumer food industry waste</t>
  </si>
  <si>
    <t>Pinnacle Road Landfill (North Sanitary Landfill) (WM, DTE Biomass Energy)</t>
  </si>
  <si>
    <t>https://www.wastetodaymagazine.com/news/gfl-opal-fuels-arbor-hills-michigan-landfill-rng-facility-opening/
https://www.waste360.com/fleets-technology/gfl-environmental-and-opal-fuels-complete-construction-renewable-natural-gas
https://investors.gflenv.com/English/news/news-details/2021/GFL-Environmental-Inc.-Announces-Renewable-Natural-Gas-Projects-at-2-Landfills/default.aspx
https://www.michigan.gov/egle/about/organization/air-quality/facility-specific-info/arbor-hills#:~:text=The%20Arbor%20Hills%20Landfill%20(AHL,by%20Green%20for%20Life%20Environmental.
https://seekingalpha.com/article/4647373-gfl-environmental-inc-gfl-q3-2023-earnings-call-transcript</t>
  </si>
  <si>
    <t>The facility has a nameplate capacity of 10,000 standard cubic feet per minute (SCFM) of landfill gas and is expected to produce more than 2.5 million MMBtu or almost 20 million gasoline gallon equivalents (GGE) of RNG annually. Calculations here based on 2.5 million MMBTU. The RNG will be used in part to power a portion of GFL’s U.S. compressed natural gas fleet. RNG Coalition says use is Transportation Fuel and Thermal. Q3 2023 earnings call said "specific technical delays have us expecting the first contributions from this site to be in early 2024."</t>
  </si>
  <si>
    <t>Autumn Hills RNG</t>
  </si>
  <si>
    <t>Kinder Morgan</t>
  </si>
  <si>
    <t xml:space="preserve">In January 2023, Kinder Morgan decided to proceed with a plan to convert its Autumn Hills landfill to an RNG facility, with construction scheduled to begin that month. The facility will have a capacity of approximately 0.65 Bcf of RNG annually, converting 4,000 SCFM of landfill gas. Autumn Hills is one of the seven renewable energy sites acquired as part of Kinder Morgan's $135 million acquisition of North American Natural Resources, Inc. RNG to be injected into Kinder Morgan's pipeline network but end-use unspecified. </t>
  </si>
  <si>
    <t>This project includes the development of a facility that will produce 8.64 mmscfd, along with the construction of the Liberty RNG Lateral - an approximately 12-mile, 4 inch-diameter pipeline lateral, to transport RNG captured from the Liberty Landfill near Monticello, White County, Indiana to an interconnect with an existing third-party pipeline in Cass County, Indiana. Capacity 1.5 bcf per year.</t>
  </si>
  <si>
    <t>This facility is being constructed at Waste Management’s Prairie View Landfill in St. Joseph County, Indiana. It will be the smallest of the three projects, with the proposed facility processing only half as much landfill gas compared to its sister sites, meaning 4.32 mmscfd. Once the gas is processed, the RNG will be delivered via pipeline to the nearby third-party transmission pipeline. Capacity 0.8 bcf per year.</t>
  </si>
  <si>
    <t>http://s24.q4cdn.com/126708163/files/doc_presentations/2021/09/September-2021-Investor-Presentation-old.pdf
https://www.nasdaq.com/articles/kinder-morgan-kmi-affiliate-starts-3-rng-plants-construction-2021-10-05
https://www.kindermorgan.com/Operations/Projects/Kinetrex-Landfill-Based-RNG-Facilities-Project
https://www.kindermorgan.com/ETV/KM-RNG/Leaders-in-RNG-Development/Renewable-Gas-Assets/Prairie-View</t>
  </si>
  <si>
    <t>http://s24.q4cdn.com/126708163/files/doc_presentations/2021/09/September-2021-Investor-Presentation-old.pdf
https://www.nasdaq.com/articles/kinder-morgan-kmi-affiliate-starts-3-rng-plants-construction-2021-10-05
https://www.kindermorgan.com/Operations/Projects/Kinetrex-Landfill-Based-RNG-Facilities-Project
https://www.kindermorgan.com/ETV/KM-RNG/Leaders-in-RNG-Development/Renewable-Gas-Assets/Liberty</t>
  </si>
  <si>
    <t>https://www.kindermorgan.com/ETV/KM-RNG/Leaders-in-RNG-Development/Renewable-Gas-Assets
https://bullfrogpower.com/projects/autumn-hills-east-landfill-and-zeeland-farm-green-natural-gas-facility/
https://www.linkedin.com/posts/kinder-morgan-rng_autumn-hills-rng-activity-7021849376591409152-gNzx?utm_source=share&amp;utm_medium=member_desktop
https://www.kindermorgan.com/Archive/Kinetrex-Energy2/Renewable-Natural-Gas/RNG-Assets
https://www.reuters.com/business/energy/kinder-morgan-sees-tax-credits-speeding-up-clean-energy-investments-2023-01-25/
https://www.spglobal.com/commodityinsights/en/market-insights/latest-news/natural-gas/110923-strong-renewable-fuel-standard-targets-drive-interest-in-rng-projects</t>
  </si>
  <si>
    <t>Swift Creek Renewables (Shoosmith Landfill)</t>
  </si>
  <si>
    <t xml:space="preserve">This facility was commissioned in September 2023 with a capacity of 10,000 SCFM. Calculations of output based on LMOP data. RNG is pipeline injected and used for transportation.                                                                                                                                                                                                                                                                                                                                                                                                                                                                                                                                                                                                                                                                                                                                                                                                                                                                                                                                                                                                                                                                                                                                                                                                                                                                                                                                                                                                                                                                                </t>
  </si>
  <si>
    <t>Corpus Christi Renewables (Cefe Valenzuela Landfill)</t>
  </si>
  <si>
    <t>Nueces</t>
  </si>
  <si>
    <t>City of Corpus Christi, TX</t>
  </si>
  <si>
    <t>https://morrowenergy.com/about/case-studies/corpus-christi-renewables-transforming-landfill-gas-into-clean-renewable-natural-gas/https://news.cctexas.com/news/landfill-gas-project-expands-to-j-c-elliott-landfill</t>
  </si>
  <si>
    <t>https://www.chesterfieldobserver.com/articles/proposed-biogas-facility-at-shoosmith-landfill-promises-to-cut-the-smell-and-the-carbon-footprint/
https://www.linkedin.com/posts/morrowenergy_landfills-landfillgas-renewablenaturalgas-activity-7165366708738646017-GpYw/
https://morrowenergy.com/about/case-studies/swift-creek-renewables-transforming-landfill-gas-into-clean-renewable-natural-gas/</t>
  </si>
  <si>
    <t>This facility was commissioned in October 2023 with a capacity of 4,000 SCFM. Calculations of output based on LMOP data. RNG is pipeline injected and used for transportation.</t>
  </si>
  <si>
    <t>Facility to be owned, operated, maintained, and managed by Northern Biogas. Manure from 4,100 dairy cows to be digested in 1 above ground complete mix AD and upgraded with PSA. Biogas flow is to be 200 cfm. Location in "Eastern Wisconsin."</t>
  </si>
  <si>
    <t>Facility to be owned, operated, maintained, and managed by Northern Biogas. Manure from 4,100 dairy cows to be digested in 2 above ground complete mix ADs and upgraded with PSA. Biogas flow is to be 200 cfm. Location in "Eastern Wisconsin."</t>
  </si>
  <si>
    <t>Facility to be owned, operated, maintained, and managed by Northern Biogas. Manure from 7,500 dairy cows to be digested in 2 above ground complete mix ADs and upgraded with PSA. Biogas flow is to be 400 cfm. Location in "Eastern Wisconsin."</t>
  </si>
  <si>
    <t>Facility to be owned, operated, maintained, and managed by Northern Biogas. Manure from 5,000 dairy cows to be digested in 2 above ground complete mix ADs and upgraded with PSA. Biogas flow is to be 300 cfm. Location in "Eastern Wisconsin."</t>
  </si>
  <si>
    <t>Facility to be owned, operated, maintained, and managed by Northern Biogas. Manure from 3 dairy farms to be digested in 1 above ground complete mix AD and upgraded with PSA. Location undisclosed in Wisconsin. Northern Biogas acquired the projects in February 2023, and they are projected to begin commercial service by Q1 2024.</t>
  </si>
  <si>
    <t>Roanoke</t>
  </si>
  <si>
    <t xml:space="preserve">Nature's Methane Huntington I (New Dawn Dairy) </t>
  </si>
  <si>
    <t>DVO plug flow, manure only AD system with gas going to grid, for California vehicle fueling market. Project was more than 75% constructed as of January 2022 article.  Nature's Methane - Huntington LLC will use a $7.75 million loan from USDA's Rural Energy for America Program in August 2023 to purchase and install an AD. It claims the estimated production will be enough to fuel 4,000 automobiles annually.</t>
  </si>
  <si>
    <t>http://starbioenergy.com/huntington/
 https://wasteadvantagemag.com/star-bioenergy-and-stella-energia-announce-the-addition-of-an-experienced-executive-to-the-company/
https://www.rd.usda.gov/media/file/download/rural-energy-america-program-indiana.pdf</t>
  </si>
  <si>
    <t xml:space="preserve">Project is one of four in Michigan being developed by Rev LNG and South Jersey Industries (SJI) that will collectively produce about 3 million therms (roughly 300,000 MMBTU) of RNG annually. According to an air quality inspection in July 2023, biogas from one anaerobic digester is to be processed in an RNG processing facility (Double Eagle RNG, LLC) located adjacent to the Double Eagle Dairy. A flare is in use onsite to burn any unused biogas from the digesters, and off-spec treated gas is recycled back into the AD. However, the gas upgrading system was not yet operational as of July 2023, as the methane concentration was not yet high enough to begin treatment. </t>
  </si>
  <si>
    <t>https://sports.yahoo.com/sji-rev-lng-break-ground-210300636.html
https://www.thetimesherald.com/story/news/2021/12/29/sanilac-county-dairy-farms-participating-renewable-natural-gas-project/8981383002/
https://www.egle.state.mi.us/aps/downloads/SRN/P1193/P1193_SAR_20230711.pdf</t>
  </si>
  <si>
    <t xml:space="preserve">Ground up project that will include constructing 2M gallon anaerobic digester and related RNG facilities. Project is one of four in Michigan being developed by Rev LNG and South Jersey Industries (SJI) that will collectively produce about 3 million therms (roughly 300,000 MMBTU) of RNG annually. </t>
  </si>
  <si>
    <t>300 SCFM project being developed on an upstate NY dairy farm. Fuel destined for CA LCFS. Company announcement in January 2023 indicated construction underway and first RNG production anticipated in Q2 2023. Unclear if that happened and if this is linked to the other upstate NY project being developed by HoST.</t>
  </si>
  <si>
    <t>January 2023?</t>
  </si>
  <si>
    <t>https://biomassmagazine.com/articles/18978/host-group-enters-us-market-with-three-dairy-biogas-projects/
https://www.host.nl/us/host-group-enters-us-market-with-three-dairy-biogas-projects/
https://www.rngcoalition.com/news/2022/5/9/host-group-enters-us-market-with-three-dairy-biogas-projects
https://www.host-bioenergy.com/us/host-usa-makes-steady-solid-progress-at-300-scfm-biogas-plant-in-upstate-new-york/</t>
  </si>
  <si>
    <t>? [Somewhere Upstate]</t>
  </si>
  <si>
    <t>Landfill gas to pipeline RNG at one of Utah's largest landfills. RNG injected into Kern River Gas Transmission’s pipeline. Operator Pine Creek RNG uses Pressure Swing Adsorption gas upgrading, flare &amp; thermal oxidizer, and compression technology at this site and all of its other project sites. Anticipated to become operational in 2024.</t>
  </si>
  <si>
    <t>https://wrhps.com/project/suvswd/
https://wrhbiogas.com/project/suvswd/   https://pinecreekrng.com/project/suvswd/   https://www.sltrib.com/news/environment/2020/02/11/major-supplier-fossil/
https://www.wastetodaymagazine.com/news/avista-energy-pine-creek-washington-rng-development/
https://www.pinecreekrng.com/projects/bayview</t>
  </si>
  <si>
    <t>https://www.wmsolutions.com/locations/details/id/93   https://www.wmsolutions.com/pdf-tracker/index/id/23/campaignType/28   https://www.ugicorp.com/news-releases/news-release-details/ugi-utilities-signs-first-agreement-bring-significant-renewable
https://mediaroom.wm.com/2024-05-22-WM-Opens-55-Million-Renewable-Natural-Gas-Facility-in-Dallas-Area</t>
  </si>
  <si>
    <t>The nearly $55 million WM DFW RNG facility is expected to generate approximately 1.2 million MMBTUs annually, which serves the equivalent of almost 55,000 households per year or the ability to fuel up to 1,100 heavy-duty vehicles per day.</t>
  </si>
  <si>
    <t>Steuben County Landfill will use a WAGABOX unit to purify 1,000 scfm of landfill gas to deliver 207,000 mmBtu. This will save 13,500 metric tons of CO2eq per year. The WAGABOX unit is expected to be operating in early 2024.</t>
  </si>
  <si>
    <t xml:space="preserve">https://waga-energy.com/en/key-component-of-rng-production-plant-delivered-to-steuben-county-landfill/
https://waga-energy.com/wp-content/uploads/2024/03/PR_2024-03-18_CommissioningSteuben_EN.pdf
</t>
  </si>
  <si>
    <t>This project will include a facility to convert the landfill gas to 600 MMBTU/day of RNG and an approximately two-mile long pipeline from the landfill to a Bangor Gas pipeline. Expected to be online in mid-2024. Archaea/BP will own and operate the RNG facility, while Casella is anticipated to earn profits from RINs and gas sales.</t>
  </si>
  <si>
    <t>https://www.archaeaenergy.com/projects
https://bangordailynews.com/2019/11/22/news/bangor/pennsylvania-company-wants-to-produce-truck-fuel-from-the-waste-at-an-old-town-landfill/
https://www.sanbornhead.com/project/renewable-natural-gas-facility-air-permitting/
https://www.maine.gov/dafs/bgs/sites/maine.gov.dafs.bgs/files/inline-files/0523%20Monthly%20Status%20Report.pdf
https://www.wastedive.com/news/casella-q1-2024-rng-pfas-mckean-landfill/714468/</t>
  </si>
  <si>
    <t xml:space="preserve">Two dairy farms. Project will export for RFS ands LCFS markets. Expected CI of negative 200. One goal of the project is to empty the uncovered manure lagoons that currently exist on both farms. Company said at end-2023 that all facilities completed and start of commercial operations was imminent. </t>
  </si>
  <si>
    <t>https://finance.yahoo.com/news/green-impact-partners-inc-announces-110000976.html
https://renewablesnow.com/news/gip-finalises-sale-of-itcs-for-rng-project-in-colorado-844742/
https://www.newswire.ca/news-releases/green-impact-partners-inc-formerly-blackheath-resources-inc-and-wolverine-energy-and-infrastructure-inc-announce-closing-of-reverse-takeover-and-creation-of-green-impact-partners-inc--805360890.html
https://www.canadianbiomassmagazine.ca/greenlane-renewables-signs-onto-6-1-million-renewable-natural-gas-project-in-colorado/
https://www.greenipi.com/portfolio/greengas-colorado/</t>
  </si>
  <si>
    <t>RDB Environmental (Oak Basin Dairy)</t>
  </si>
  <si>
    <t>The Coopersville Circularity Center processes manure from four large digesters and is Brightmark and Chevron’s second-largest carbon-negative RNG project. Draws from Apple Gate Farm, River Ridge Farms, Ottowa Farms, and Den Dulk Farm; project called for digesters at the Beaver Creek Farms in Coopersville. [Project MMBTU is from 2020 article and may have changed with farms participating in project.] October 2023 state inspection found non-compliance in several emissions areas.</t>
  </si>
  <si>
    <t>https://www.nsagriculture.com/news/brightmark-dairy-natural-gas/#
https://www.brightmark.com/dairy/projects/the-castor-project
https://77f90741.flowpaper.com/DairyFarmBrochureMichiganRNG/#page=4
https://www.wastetodaymagazine.com/news/brightmark-chevron-joint-venture-five-anaerobic-digestion-farm-projects-michigan/
https://www.egle.state.mi.us/aps/downloads/SRN/P1125/P1125_SAR_20230919.pdf</t>
  </si>
  <si>
    <t>Johnson Dairy Farm (Northern Biogas)</t>
  </si>
  <si>
    <t>Menominee</t>
  </si>
  <si>
    <t xml:space="preserve">Facility to be owned, operated, maintained, and managed by Northern Biogas. Manure from 3,000 dairy cows to be digested in 1 above ground complete mix AD and upgraded with PSA. Biogas flow is to be 135 cfm. </t>
  </si>
  <si>
    <t>Victory Farms VF Renewable Energy</t>
  </si>
  <si>
    <t>Surry</t>
  </si>
  <si>
    <t>Abel Dairy Farm (Northern Biogas)</t>
  </si>
  <si>
    <t>Betley Dairy Farm (Northern Biogas)</t>
  </si>
  <si>
    <t>Siemers Dairy Farm (Northern Biogas)</t>
  </si>
  <si>
    <t>Tinedale Dairy Farm (Northern Biogas)</t>
  </si>
  <si>
    <t>Northern Biogas Three Dairies Project (Wisconsin)</t>
  </si>
  <si>
    <t>The project will build a membrane-based gas upgrading facility with a nominal throughput capacity of about 600 SCFM. It will take biogas produced by anaerobically digesting manure and slurry from a farm with around 6,500 dairy cattle and use membrane-based gas separation to upgrade it into RNG. The first feed-in is planned for early summer 2022. Raw gas value based on 600SCFM.</t>
  </si>
  <si>
    <t>Biogest plant has a thermal output of 90,000 MMBTU per year and utilizes 120,000 tons of cow manure per year. As well as producing biogas, the plant will transform the manure into high-quality organic fertilizer that will substitute existing chemical products. Biogest’s technology aims to deliver significant advantages in energy efficiency and operational safety as well as an easy and cost efficient maintenance system. Upgrading system is Xebec PSA.</t>
  </si>
  <si>
    <t>AG Power DCD RNG Project (Dry Creek Dairy)</t>
  </si>
  <si>
    <t>https://www.novillarng.com/projects-2
https://www.kron4.com/business/press-releases/ein-presswire/631770270/alterag-industries-and-novilla-rng-to-produce-renewable-natural-gas-on-alterags-lynn-farms/
https://www.linkedin.com/posts/novilla-rng_rng-biogas-dairy-activity-7111179905433825280-_kAA?trk=public_profile_like_view</t>
  </si>
  <si>
    <t>Novilla will construct, own and operate a manure conversion facility on AlterAg’s Lynn farm property that is anticipated to produce more than 120,000 MMBtu of renewable natural gas per year from waste-manure – the energy equivalent to approximately 900,000 gallons of gasoline or 875,000 gallons of propane. The AlterAg and Novilla project will also preempt greenhouse gas emission equivalent to 6,500 or more automobiles, annually. Project will also produce high-quality fertilizer and high-quality fiber bedding for the dairy. Construction began in October 2023.</t>
  </si>
  <si>
    <r>
      <t xml:space="preserve">Mintz, M. and Lerner, M.. </t>
    </r>
    <r>
      <rPr>
        <i/>
        <sz val="11"/>
        <color indexed="8"/>
        <rFont val="Calibri"/>
        <family val="2"/>
      </rPr>
      <t xml:space="preserve">Database of Renewable Natural Gas (RNG) Projects: 2023 Update, </t>
    </r>
    <r>
      <rPr>
        <sz val="11"/>
        <color indexed="8"/>
        <rFont val="Calibri"/>
        <family val="2"/>
      </rPr>
      <t xml:space="preserve">Argonne National Laboratory, July 2024, https://www.anl.gov/es/reference/renewable-natural-gas-database.  </t>
    </r>
    <r>
      <rPr>
        <i/>
        <sz val="11"/>
        <color indexed="8"/>
        <rFont val="Calibri"/>
        <family val="2"/>
      </rPr>
      <t xml:space="preserve"> </t>
    </r>
  </si>
  <si>
    <t xml:space="preserve"> County</t>
  </si>
  <si>
    <t xml:space="preserve">If producing vehicle fuel, public filling station? </t>
  </si>
  <si>
    <t xml:space="preserve">GENERAL INFORMATION </t>
  </si>
  <si>
    <t>GENERAL INFORMATION</t>
  </si>
  <si>
    <t>Gas production began/ projected to begin</t>
  </si>
  <si>
    <r>
      <t xml:space="preserve">Brightmark Energy; </t>
    </r>
    <r>
      <rPr>
        <sz val="8"/>
        <color theme="1"/>
        <rFont val="Calibri (Body)"/>
      </rPr>
      <t>Energy Partners Group</t>
    </r>
  </si>
  <si>
    <t xml:space="preserve">Former electric project converted to RNG. Nacelle Solutions will operate and maintain. 2023 update - using membrane upgrading technology from DMT Clear Gas.  </t>
  </si>
  <si>
    <t xml:space="preserve">January 2020, US Gain announces purchase of digester and plan to install upgrading capability. Gas will be injected into pipeline and distributed through GAIN Clean Fuel network, private natural gas fueling stations and other non-transportation outlets. Gas is being transported to pipeline injection point via virtual pipeline. 2023 update - using membrane upgrading technology from DMT Clear Gas.  </t>
  </si>
  <si>
    <t xml:space="preserve">Dec. 2019, US Gain announced purchase of digester at farm and plan to install RNG upgrading. Gas will be distributed through private natural gas fueling stations, its own GAIN Clean Fuel network and other non-transportation outlets. 2023 update - using membrane upgrading technology from DMT Clear Gas.  </t>
  </si>
  <si>
    <t xml:space="preserve">Value from press/website, including CA Dept. of Ag </t>
  </si>
  <si>
    <t>CONFIRMED CANCELLED/SHUTDOWN AS OF 12/31/2023</t>
  </si>
  <si>
    <t>Project Scale</t>
  </si>
  <si>
    <t>UNDER CONSTRUCTION PROJECTS BY PRODUCTION, AS OF 12/31/2023 (many projects do not have MMBTU, so totals are incomplete)</t>
  </si>
  <si>
    <t>PLANNED PROJECTS AS OF12/31/2023</t>
  </si>
  <si>
    <t xml:space="preserve">Projects </t>
  </si>
  <si>
    <t>Projects</t>
  </si>
  <si>
    <t>GGE/yr</t>
  </si>
  <si>
    <t>DGE/yr</t>
  </si>
  <si>
    <t>Average Project MMBTU/yr</t>
  </si>
  <si>
    <t>Average Project  GGE/yr</t>
  </si>
  <si>
    <t>Average Project DGE/yr</t>
  </si>
  <si>
    <t>OPERATIONAL PROJECTS BY DISPOSITION, 12/31/2023</t>
  </si>
  <si>
    <t>Vehicle Fuel      (local use)</t>
  </si>
  <si>
    <t>OPERATIONAL PROJECTS</t>
  </si>
  <si>
    <t>UNDER CONSTRUCTION PROJECTS</t>
  </si>
  <si>
    <t>PLANNED PROJECTS</t>
  </si>
  <si>
    <t>Totals by Status 12/31/2023</t>
  </si>
  <si>
    <t>Totals by Status 12/31/2022</t>
  </si>
  <si>
    <t xml:space="preserve">TOTALS, 2023 RNG DATABASE </t>
  </si>
  <si>
    <t>Under Construction</t>
  </si>
  <si>
    <t xml:space="preserve">Operational </t>
  </si>
  <si>
    <t>FOOD WASTE PROJECTS: CAPACITY (MMBTU)</t>
  </si>
  <si>
    <t>LANDFILL PROJECTS: CAPACITY (MMBTU)</t>
  </si>
  <si>
    <t>LIVESTOCK/AG PROJECTS: CAPACITY  (MMBTU)</t>
  </si>
  <si>
    <t xml:space="preserve">LIVESTOCK/AG PROJECTS: STATUS </t>
  </si>
  <si>
    <t xml:space="preserve">WRRF PROJECTS: CAPACITY (MMBTU) </t>
  </si>
  <si>
    <t xml:space="preserve">Under Construction </t>
  </si>
  <si>
    <r>
      <rPr>
        <b/>
        <i/>
        <sz val="11"/>
        <color indexed="63"/>
        <rFont val="Calibri"/>
        <family val="2"/>
      </rPr>
      <t>Operational Projects tab</t>
    </r>
    <r>
      <rPr>
        <sz val="11"/>
        <color indexed="63"/>
        <rFont val="Calibri"/>
        <family val="2"/>
      </rPr>
      <t xml:space="preserve">: Lists projects (by name, state and feedstock) projected to be operational by December 31, 2023. </t>
    </r>
  </si>
  <si>
    <t>This spreadsheet was developed by staff of Argonne National Laboratory ("Argonne") and Energy Vision.  Argonne is a U.S. Department of Energy laboratory managed by UChicago Argonne, LLC under contract   DE-AC02-06CH11357.</t>
  </si>
  <si>
    <t>Pendiong</t>
  </si>
  <si>
    <t>750,000 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</si>
</sst>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3" formatCode="_(* #,##0.00_);_(* \(#,##0.00\);_(* &quot;-&quot;??_);_(@_)"/>
    <numFmt numFmtId="164" formatCode="0.000"/>
    <numFmt numFmtId="165" formatCode="_(* #,##0_);_(* \(#,##0\);_(* &quot;-&quot;??_);_(@_)"/>
    <numFmt numFmtId="166" formatCode="0.0000"/>
    <numFmt numFmtId="167" formatCode="m/yyyy"/>
    <numFmt numFmtId="168" formatCode="mmm\.\ yyyy"/>
    <numFmt numFmtId="169" formatCode="#,##0.000"/>
    <numFmt numFmtId="170" formatCode="mmmm\ yyyy"/>
    <numFmt numFmtId="171" formatCode="#,##0.0"/>
    <numFmt numFmtId="172" formatCode="[$-F800]dddd\,\ mmmm\ dd\,\ yyyy"/>
    <numFmt numFmtId="173" formatCode="_(* #,##0.0_);_(* \(#,##0.0\);_(* &quot;-&quot;??_);_(@_)"/>
  </numFmts>
  <fonts count="94">
    <font>
      <sz val="11"/>
      <color theme="1"/>
      <name val="Arial"/>
    </font>
    <font>
      <sz val="11"/>
      <color theme="1"/>
      <name val="Calibri"/>
      <family val="2"/>
    </font>
    <font>
      <b/>
      <sz val="11"/>
      <color theme="1"/>
      <name val="Calibri"/>
      <family val="2"/>
    </font>
    <font>
      <u/>
      <sz val="11"/>
      <color theme="10"/>
      <name val="Arial"/>
      <family val="2"/>
    </font>
    <font>
      <b/>
      <sz val="12"/>
      <color theme="1"/>
      <name val="Calibri"/>
      <family val="2"/>
    </font>
    <font>
      <b/>
      <sz val="12"/>
      <color rgb="FF000000"/>
      <name val="Calibri"/>
      <family val="2"/>
    </font>
    <font>
      <b/>
      <i/>
      <sz val="11"/>
      <color rgb="FF000000"/>
      <name val="Calibri"/>
      <family val="2"/>
    </font>
    <font>
      <b/>
      <sz val="9"/>
      <color theme="1"/>
      <name val="Calibri"/>
      <family val="2"/>
    </font>
    <font>
      <sz val="8"/>
      <color rgb="FF000000"/>
      <name val="Calibri"/>
      <family val="2"/>
    </font>
    <font>
      <sz val="8"/>
      <color theme="1"/>
      <name val="Calibri"/>
      <family val="2"/>
    </font>
    <font>
      <b/>
      <sz val="8"/>
      <color theme="1"/>
      <name val="Calibri"/>
      <family val="2"/>
    </font>
    <font>
      <u/>
      <sz val="8"/>
      <color theme="1"/>
      <name val="Arial"/>
      <family val="2"/>
    </font>
    <font>
      <sz val="7"/>
      <color theme="1"/>
      <name val="Calibri"/>
      <family val="2"/>
    </font>
    <font>
      <sz val="14"/>
      <color theme="1"/>
      <name val="Arial"/>
      <family val="2"/>
    </font>
    <font>
      <b/>
      <sz val="14"/>
      <color theme="1"/>
      <name val="Calibri"/>
      <family val="2"/>
    </font>
    <font>
      <sz val="10"/>
      <color theme="1"/>
      <name val="Arial"/>
      <family val="2"/>
    </font>
    <font>
      <sz val="7"/>
      <color theme="1"/>
      <name val="Arial"/>
      <family val="2"/>
    </font>
    <font>
      <sz val="12"/>
      <color rgb="FF000000"/>
      <name val="Calibri"/>
      <family val="2"/>
    </font>
    <font>
      <sz val="9"/>
      <color rgb="FF000000"/>
      <name val="Calibri"/>
      <family val="2"/>
    </font>
    <font>
      <b/>
      <sz val="11"/>
      <color rgb="FF000000"/>
      <name val="Calibri"/>
      <family val="2"/>
    </font>
    <font>
      <b/>
      <sz val="7"/>
      <color theme="1"/>
      <name val="Calibri"/>
      <family val="2"/>
    </font>
    <font>
      <sz val="9"/>
      <color theme="1"/>
      <name val="Calibri"/>
      <family val="2"/>
    </font>
    <font>
      <i/>
      <sz val="11"/>
      <color rgb="FF000000"/>
      <name val="Calibri"/>
      <family val="2"/>
    </font>
    <font>
      <u/>
      <sz val="11"/>
      <color theme="10"/>
      <name val="Calibri"/>
      <family val="2"/>
    </font>
    <font>
      <sz val="11"/>
      <color theme="1"/>
      <name val="Arial"/>
      <family val="2"/>
    </font>
    <font>
      <sz val="8"/>
      <name val="Arial"/>
      <family val="2"/>
    </font>
    <font>
      <sz val="8"/>
      <color theme="1"/>
      <name val="Arial"/>
      <family val="2"/>
    </font>
    <font>
      <sz val="10"/>
      <color theme="1"/>
      <name val="Calibri"/>
      <family val="2"/>
    </font>
    <font>
      <i/>
      <sz val="10"/>
      <color theme="1"/>
      <name val="Calibri"/>
      <family val="2"/>
    </font>
    <font>
      <sz val="11"/>
      <color rgb="FF000000"/>
      <name val="Calibri"/>
      <family val="2"/>
    </font>
    <font>
      <b/>
      <sz val="20"/>
      <color theme="1"/>
      <name val="Calibri"/>
      <family val="2"/>
    </font>
    <font>
      <b/>
      <sz val="18"/>
      <color theme="1"/>
      <name val="Calibri"/>
      <family val="2"/>
    </font>
    <font>
      <b/>
      <sz val="12"/>
      <color theme="1"/>
      <name val="Arial"/>
      <family val="2"/>
    </font>
    <font>
      <sz val="12"/>
      <color theme="1"/>
      <name val="Calibri"/>
      <family val="2"/>
    </font>
    <font>
      <i/>
      <sz val="12"/>
      <color theme="1"/>
      <name val="Calibri"/>
      <family val="2"/>
    </font>
    <font>
      <sz val="14"/>
      <color theme="1"/>
      <name val="Calibri"/>
      <family val="2"/>
    </font>
    <font>
      <i/>
      <sz val="14"/>
      <color theme="1"/>
      <name val="Calibri"/>
      <family val="2"/>
    </font>
    <font>
      <b/>
      <i/>
      <sz val="14"/>
      <color theme="1"/>
      <name val="Calibri"/>
      <family val="2"/>
    </font>
    <font>
      <sz val="12"/>
      <color theme="1"/>
      <name val="Arial"/>
      <family val="2"/>
    </font>
    <font>
      <b/>
      <sz val="14"/>
      <color theme="1"/>
      <name val="Arial"/>
      <family val="2"/>
    </font>
    <font>
      <b/>
      <sz val="10"/>
      <color rgb="FF000000"/>
      <name val="Arial"/>
      <family val="2"/>
    </font>
    <font>
      <sz val="7"/>
      <color rgb="FF000000"/>
      <name val="Arial"/>
      <family val="2"/>
    </font>
    <font>
      <sz val="9"/>
      <color rgb="FF000000"/>
      <name val="Arial"/>
      <family val="2"/>
    </font>
    <font>
      <sz val="10"/>
      <color rgb="FF000000"/>
      <name val="Arial"/>
      <family val="2"/>
    </font>
    <font>
      <u/>
      <sz val="10"/>
      <color rgb="FF000000"/>
      <name val="Arial"/>
      <family val="2"/>
    </font>
    <font>
      <b/>
      <i/>
      <sz val="8"/>
      <color theme="1"/>
      <name val="Calibri"/>
      <family val="2"/>
    </font>
    <font>
      <vertAlign val="subscript"/>
      <sz val="8"/>
      <color theme="1"/>
      <name val="Calibri"/>
      <family val="2"/>
    </font>
    <font>
      <u/>
      <sz val="8"/>
      <color theme="1"/>
      <name val="Calibri"/>
      <family val="2"/>
    </font>
    <font>
      <u/>
      <sz val="8"/>
      <color theme="10"/>
      <name val="Calibri"/>
      <family val="2"/>
    </font>
    <font>
      <sz val="9"/>
      <color theme="1"/>
      <name val="Calibri"/>
      <family val="2"/>
      <scheme val="minor"/>
    </font>
    <font>
      <sz val="8"/>
      <color theme="1"/>
      <name val="Calibri"/>
      <family val="2"/>
      <scheme val="minor"/>
    </font>
    <font>
      <b/>
      <sz val="12"/>
      <color theme="1"/>
      <name val="Arial"/>
      <family val="2"/>
    </font>
    <font>
      <sz val="8"/>
      <color theme="1"/>
      <name val="Calibri"/>
      <family val="2"/>
      <scheme val="major"/>
    </font>
    <font>
      <b/>
      <sz val="8"/>
      <color theme="1"/>
      <name val="Calibri"/>
      <family val="2"/>
      <scheme val="minor"/>
    </font>
    <font>
      <b/>
      <i/>
      <sz val="10"/>
      <color theme="1"/>
      <name val="Calibri"/>
      <family val="2"/>
    </font>
    <font>
      <b/>
      <sz val="13"/>
      <color rgb="FF222222"/>
      <name val="Calibri"/>
      <family val="2"/>
    </font>
    <font>
      <b/>
      <sz val="11"/>
      <color rgb="FF222222"/>
      <name val="Calibri"/>
      <family val="2"/>
    </font>
    <font>
      <b/>
      <sz val="7"/>
      <color indexed="63"/>
      <name val="Times New Roman"/>
      <family val="1"/>
    </font>
    <font>
      <b/>
      <sz val="11"/>
      <color indexed="63"/>
      <name val="Calibri"/>
      <family val="2"/>
    </font>
    <font>
      <sz val="11"/>
      <color rgb="FF222222"/>
      <name val="Calibri"/>
      <family val="2"/>
    </font>
    <font>
      <sz val="11"/>
      <color indexed="63"/>
      <name val="Calibri"/>
      <family val="2"/>
    </font>
    <font>
      <sz val="7"/>
      <color indexed="63"/>
      <name val="Times New Roman"/>
      <family val="1"/>
    </font>
    <font>
      <b/>
      <i/>
      <sz val="11"/>
      <color rgb="FF222222"/>
      <name val="Calibri"/>
      <family val="2"/>
    </font>
    <font>
      <sz val="11"/>
      <color rgb="FF222222"/>
      <name val="Calibri"/>
      <family val="2"/>
      <scheme val="minor"/>
    </font>
    <font>
      <sz val="7"/>
      <color rgb="FF222222"/>
      <name val="Times New Roman"/>
      <family val="1"/>
    </font>
    <font>
      <b/>
      <sz val="11"/>
      <color rgb="FF222222"/>
      <name val="Calibri"/>
      <family val="2"/>
      <scheme val="minor"/>
    </font>
    <font>
      <b/>
      <i/>
      <sz val="11"/>
      <color indexed="63"/>
      <name val="Calibri"/>
      <family val="2"/>
    </font>
    <font>
      <sz val="11"/>
      <color rgb="FF222222"/>
      <name val="Symbol"/>
      <family val="1"/>
      <charset val="2"/>
    </font>
    <font>
      <i/>
      <sz val="11"/>
      <color rgb="FF222222"/>
      <name val="Calibri"/>
      <family val="2"/>
    </font>
    <font>
      <i/>
      <sz val="11"/>
      <color indexed="8"/>
      <name val="Calibri"/>
      <family val="2"/>
    </font>
    <font>
      <sz val="11"/>
      <color indexed="8"/>
      <name val="Calibri"/>
      <family val="2"/>
    </font>
    <font>
      <sz val="11"/>
      <color theme="1"/>
      <name val="Arial"/>
      <family val="2"/>
    </font>
    <font>
      <sz val="10"/>
      <name val="MS Sans Serif"/>
    </font>
    <font>
      <b/>
      <sz val="11"/>
      <color theme="1"/>
      <name val="Arial"/>
      <family val="2"/>
    </font>
    <font>
      <sz val="11"/>
      <color theme="1"/>
      <name val="Calibri"/>
      <family val="2"/>
      <scheme val="minor"/>
    </font>
    <font>
      <b/>
      <sz val="12"/>
      <color rgb="FF3F3F3F"/>
      <name val="Calibri"/>
      <family val="2"/>
      <scheme val="minor"/>
    </font>
    <font>
      <b/>
      <sz val="8"/>
      <color rgb="FF3F3F3F"/>
      <name val="Calibri"/>
      <family val="2"/>
      <scheme val="minor"/>
    </font>
    <font>
      <b/>
      <sz val="8"/>
      <color theme="1"/>
      <name val="Calibri (Headings)"/>
    </font>
    <font>
      <b/>
      <sz val="10"/>
      <color theme="1"/>
      <name val="Calibri"/>
      <family val="2"/>
    </font>
    <font>
      <b/>
      <i/>
      <sz val="11"/>
      <color theme="1"/>
      <name val="Calibri"/>
      <family val="2"/>
    </font>
    <font>
      <sz val="8"/>
      <color theme="1"/>
      <name val="Source Sans Pro"/>
      <family val="2"/>
      <charset val="1"/>
    </font>
    <font>
      <sz val="8"/>
      <color theme="1"/>
      <name val="Helvetica Neue"/>
      <family val="2"/>
    </font>
    <font>
      <u/>
      <sz val="11"/>
      <color theme="10"/>
      <name val="Calibri"/>
      <family val="2"/>
      <scheme val="minor"/>
    </font>
    <font>
      <b/>
      <sz val="14"/>
      <color theme="1"/>
      <name val="Calibri"/>
      <family val="2"/>
      <scheme val="minor"/>
    </font>
    <font>
      <sz val="9"/>
      <name val="Calibri"/>
      <family val="2"/>
      <scheme val="minor"/>
    </font>
    <font>
      <sz val="8"/>
      <name val="Calibri"/>
      <family val="2"/>
      <scheme val="major"/>
    </font>
    <font>
      <b/>
      <sz val="14"/>
      <color theme="1"/>
      <name val="Calibri"/>
      <family val="2"/>
      <scheme val="major"/>
    </font>
    <font>
      <sz val="8"/>
      <name val="Calibri"/>
      <family val="2"/>
      <scheme val="minor"/>
    </font>
    <font>
      <b/>
      <sz val="8"/>
      <name val="Calibri"/>
      <family val="2"/>
      <scheme val="major"/>
    </font>
    <font>
      <sz val="8"/>
      <color theme="1"/>
      <name val="Calibri (Body)"/>
    </font>
    <font>
      <sz val="8"/>
      <name val="Calibri"/>
      <family val="2"/>
    </font>
    <font>
      <u/>
      <sz val="8"/>
      <color theme="10"/>
      <name val="Arial"/>
      <family val="2"/>
    </font>
    <font>
      <u/>
      <sz val="8"/>
      <color rgb="FF0000FF"/>
      <name val="Calibri"/>
      <family val="2"/>
    </font>
    <font>
      <i/>
      <sz val="11"/>
      <color theme="1"/>
      <name val="Calibri"/>
      <family val="2"/>
    </font>
  </fonts>
  <fills count="113">
    <fill>
      <patternFill patternType="none"/>
    </fill>
    <fill>
      <patternFill patternType="gray125"/>
    </fill>
    <fill>
      <patternFill patternType="solid">
        <fgColor rgb="FFFFFF00"/>
        <bgColor rgb="FFFFFF00"/>
      </patternFill>
    </fill>
    <fill>
      <patternFill patternType="solid">
        <fgColor rgb="FF92D050"/>
        <bgColor rgb="FF92D050"/>
      </patternFill>
    </fill>
    <fill>
      <patternFill patternType="solid">
        <fgColor rgb="FF00B0F0"/>
        <bgColor rgb="FF00B0F0"/>
      </patternFill>
    </fill>
    <fill>
      <patternFill patternType="solid">
        <fgColor rgb="FFFFC000"/>
        <bgColor rgb="FFFFC000"/>
      </patternFill>
    </fill>
    <fill>
      <patternFill patternType="solid">
        <fgColor rgb="FFFFFF99"/>
        <bgColor rgb="FFFFFF99"/>
      </patternFill>
    </fill>
    <fill>
      <patternFill patternType="solid">
        <fgColor rgb="FFE2EFD9"/>
        <bgColor rgb="FFE2EFD9"/>
      </patternFill>
    </fill>
    <fill>
      <patternFill patternType="solid">
        <fgColor theme="0"/>
        <bgColor theme="0"/>
      </patternFill>
    </fill>
    <fill>
      <patternFill patternType="solid">
        <fgColor rgb="FFFFFFFF"/>
        <bgColor rgb="FFFFFFFF"/>
      </patternFill>
    </fill>
    <fill>
      <patternFill patternType="solid">
        <fgColor rgb="FFDEEAF6"/>
        <bgColor rgb="FFDEEAF6"/>
      </patternFill>
    </fill>
    <fill>
      <patternFill patternType="solid">
        <fgColor rgb="FFD8D8D8"/>
        <bgColor rgb="FFD8D8D8"/>
      </patternFill>
    </fill>
    <fill>
      <patternFill patternType="solid">
        <fgColor rgb="FFD0CECE"/>
        <bgColor rgb="FFD0CECE"/>
      </patternFill>
    </fill>
    <fill>
      <patternFill patternType="solid">
        <fgColor rgb="FF7F7F7F"/>
        <bgColor rgb="FF7F7F7F"/>
      </patternFill>
    </fill>
    <fill>
      <patternFill patternType="solid">
        <fgColor rgb="FFD9D9D9"/>
        <bgColor rgb="FFD9D9D9"/>
      </patternFill>
    </fill>
    <fill>
      <patternFill patternType="solid">
        <fgColor rgb="FFBFBFBF"/>
        <bgColor rgb="FFBFBFBF"/>
      </patternFill>
    </fill>
    <fill>
      <patternFill patternType="solid">
        <fgColor rgb="FFD6DCE4"/>
        <bgColor rgb="FFD6DCE4"/>
      </patternFill>
    </fill>
    <fill>
      <patternFill patternType="solid">
        <fgColor rgb="FFE7E6E6"/>
        <bgColor rgb="FFE7E6E6"/>
      </patternFill>
    </fill>
    <fill>
      <patternFill patternType="solid">
        <fgColor rgb="FFF4B083"/>
        <bgColor rgb="FFF4B083"/>
      </patternFill>
    </fill>
    <fill>
      <patternFill patternType="solid">
        <fgColor theme="7"/>
        <bgColor theme="7"/>
      </patternFill>
    </fill>
    <fill>
      <patternFill patternType="solid">
        <fgColor rgb="FFA8D08D"/>
        <bgColor rgb="FFA8D08D"/>
      </patternFill>
    </fill>
    <fill>
      <patternFill patternType="solid">
        <fgColor rgb="FFB4C6E7"/>
        <bgColor rgb="FFB4C6E7"/>
      </patternFill>
    </fill>
    <fill>
      <patternFill patternType="solid">
        <fgColor rgb="FFFFC000"/>
        <bgColor indexed="64"/>
      </patternFill>
    </fill>
    <fill>
      <patternFill patternType="solid">
        <fgColor rgb="FFFFFFFF"/>
        <bgColor indexed="64"/>
      </patternFill>
    </fill>
    <fill>
      <patternFill patternType="solid">
        <fgColor rgb="FFD9D9D9"/>
        <bgColor indexed="64"/>
      </patternFill>
    </fill>
    <fill>
      <patternFill patternType="solid">
        <fgColor rgb="FFFFFF00"/>
        <bgColor indexed="64"/>
      </patternFill>
    </fill>
    <fill>
      <patternFill patternType="solid">
        <fgColor rgb="FF92D050"/>
        <bgColor indexed="64"/>
      </patternFill>
    </fill>
    <fill>
      <patternFill patternType="solid">
        <fgColor rgb="FFBFBFBF"/>
        <bgColor indexed="64"/>
      </patternFill>
    </fill>
    <fill>
      <patternFill patternType="solid">
        <fgColor rgb="FF00B0F0"/>
        <bgColor indexed="64"/>
      </patternFill>
    </fill>
    <fill>
      <patternFill patternType="solid">
        <fgColor rgb="FFD9D9D9"/>
        <bgColor rgb="FF000000"/>
      </patternFill>
    </fill>
    <fill>
      <patternFill patternType="solid">
        <fgColor rgb="FF00B050"/>
        <bgColor indexed="64"/>
      </patternFill>
    </fill>
    <fill>
      <patternFill patternType="solid">
        <fgColor rgb="FFFFC400"/>
        <bgColor indexed="64"/>
      </patternFill>
    </fill>
    <fill>
      <patternFill patternType="solid">
        <fgColor rgb="FF92D050"/>
        <bgColor rgb="FFFFFF00"/>
      </patternFill>
    </fill>
    <fill>
      <patternFill patternType="solid">
        <fgColor rgb="FFFFFF00"/>
        <bgColor theme="0"/>
      </patternFill>
    </fill>
    <fill>
      <patternFill patternType="solid">
        <fgColor rgb="FF92D050"/>
        <bgColor theme="0"/>
      </patternFill>
    </fill>
    <fill>
      <patternFill patternType="solid">
        <fgColor rgb="FF92D050"/>
        <bgColor rgb="FFFFC000"/>
      </patternFill>
    </fill>
    <fill>
      <patternFill patternType="solid">
        <fgColor rgb="FF00B0F0"/>
        <bgColor theme="0"/>
      </patternFill>
    </fill>
    <fill>
      <patternFill patternType="solid">
        <fgColor rgb="FF92D050"/>
        <bgColor rgb="FFD8D8D8"/>
      </patternFill>
    </fill>
    <fill>
      <patternFill patternType="solid">
        <fgColor rgb="FF92D050"/>
        <bgColor rgb="FFD9D9D9"/>
      </patternFill>
    </fill>
    <fill>
      <patternFill patternType="solid">
        <fgColor rgb="FF00B0F0"/>
        <bgColor rgb="FFFFC000"/>
      </patternFill>
    </fill>
    <fill>
      <patternFill patternType="solid">
        <fgColor rgb="FF00B0F0"/>
        <bgColor rgb="FFD8D8D8"/>
      </patternFill>
    </fill>
    <fill>
      <patternFill patternType="solid">
        <fgColor rgb="FFFFC000"/>
        <bgColor rgb="FF00B0F0"/>
      </patternFill>
    </fill>
    <fill>
      <patternFill patternType="solid">
        <fgColor theme="0"/>
        <bgColor indexed="64"/>
      </patternFill>
    </fill>
    <fill>
      <patternFill patternType="solid">
        <fgColor rgb="FFFFC400"/>
        <bgColor rgb="FFFFFF00"/>
      </patternFill>
    </fill>
    <fill>
      <patternFill patternType="solid">
        <fgColor rgb="FF92D050"/>
        <bgColor rgb="FFFFFFFF"/>
      </patternFill>
    </fill>
    <fill>
      <patternFill patternType="solid">
        <fgColor rgb="FFFFC000"/>
        <bgColor rgb="FFD0CECE"/>
      </patternFill>
    </fill>
    <fill>
      <patternFill patternType="solid">
        <fgColor theme="0"/>
        <bgColor rgb="FF000000"/>
      </patternFill>
    </fill>
    <fill>
      <patternFill patternType="solid">
        <fgColor theme="0"/>
        <bgColor rgb="FFFFFF00"/>
      </patternFill>
    </fill>
    <fill>
      <patternFill patternType="solid">
        <fgColor rgb="FF00B0F0"/>
        <bgColor rgb="FF92D050"/>
      </patternFill>
    </fill>
    <fill>
      <patternFill patternType="solid">
        <fgColor rgb="FF92D050"/>
        <bgColor rgb="FF00B0F0"/>
      </patternFill>
    </fill>
    <fill>
      <patternFill patternType="solid">
        <fgColor rgb="FFFFFF00"/>
        <bgColor rgb="FF92D050"/>
      </patternFill>
    </fill>
    <fill>
      <patternFill patternType="solid">
        <fgColor rgb="FFFFC000"/>
        <bgColor theme="0"/>
      </patternFill>
    </fill>
    <fill>
      <patternFill patternType="solid">
        <fgColor rgb="FFFFC000"/>
        <bgColor rgb="FF92D050"/>
      </patternFill>
    </fill>
    <fill>
      <patternFill patternType="solid">
        <fgColor rgb="FFFFC000"/>
        <bgColor rgb="FFFFFF00"/>
      </patternFill>
    </fill>
    <fill>
      <patternFill patternType="solid">
        <fgColor rgb="FFFFC000"/>
        <bgColor rgb="FFFFFFFF"/>
      </patternFill>
    </fill>
    <fill>
      <patternFill patternType="solid">
        <fgColor rgb="FF00B0F0"/>
        <bgColor rgb="FF000000"/>
      </patternFill>
    </fill>
    <fill>
      <patternFill patternType="solid">
        <fgColor theme="0"/>
        <bgColor rgb="FF92D050"/>
      </patternFill>
    </fill>
    <fill>
      <patternFill patternType="solid">
        <fgColor theme="0" tint="-0.14999847407452621"/>
        <bgColor indexed="64"/>
      </patternFill>
    </fill>
    <fill>
      <patternFill patternType="solid">
        <fgColor rgb="FFFFC000"/>
        <bgColor rgb="FFD8D8D8"/>
      </patternFill>
    </fill>
    <fill>
      <patternFill patternType="solid">
        <fgColor theme="0" tint="-0.14999847407452621"/>
        <bgColor rgb="FFD8D8D8"/>
      </patternFill>
    </fill>
    <fill>
      <patternFill patternType="solid">
        <fgColor theme="0" tint="-0.14999847407452621"/>
        <bgColor rgb="FFD0CECE"/>
      </patternFill>
    </fill>
    <fill>
      <patternFill patternType="solid">
        <fgColor theme="0" tint="-0.14999847407452621"/>
        <bgColor rgb="FFFFC000"/>
      </patternFill>
    </fill>
    <fill>
      <patternFill patternType="solid">
        <fgColor theme="0" tint="-0.14999847407452621"/>
        <bgColor rgb="FF92D050"/>
      </patternFill>
    </fill>
    <fill>
      <patternFill patternType="solid">
        <fgColor rgb="FFFFC000"/>
        <bgColor rgb="FFF4B083"/>
      </patternFill>
    </fill>
    <fill>
      <patternFill patternType="solid">
        <fgColor theme="0"/>
        <bgColor rgb="FFD8D8D8"/>
      </patternFill>
    </fill>
    <fill>
      <patternFill patternType="solid">
        <fgColor theme="0"/>
        <bgColor rgb="FF00B0F0"/>
      </patternFill>
    </fill>
    <fill>
      <patternFill patternType="solid">
        <fgColor theme="0"/>
        <bgColor rgb="FFFFFFFF"/>
      </patternFill>
    </fill>
    <fill>
      <patternFill patternType="solid">
        <fgColor theme="7"/>
        <bgColor theme="0"/>
      </patternFill>
    </fill>
    <fill>
      <patternFill patternType="solid">
        <fgColor rgb="FF05B0F0"/>
        <bgColor theme="0"/>
      </patternFill>
    </fill>
    <fill>
      <patternFill patternType="solid">
        <fgColor rgb="FF05B0F0"/>
        <bgColor rgb="FFFFFFFF"/>
      </patternFill>
    </fill>
    <fill>
      <patternFill patternType="solid">
        <fgColor rgb="FF05B0F0"/>
        <bgColor indexed="64"/>
      </patternFill>
    </fill>
    <fill>
      <patternFill patternType="solid">
        <fgColor theme="7"/>
        <bgColor indexed="64"/>
      </patternFill>
    </fill>
    <fill>
      <patternFill patternType="solid">
        <fgColor theme="7"/>
        <bgColor rgb="FF92D050"/>
      </patternFill>
    </fill>
    <fill>
      <patternFill patternType="solid">
        <fgColor theme="7"/>
        <bgColor rgb="FF00B0F0"/>
      </patternFill>
    </fill>
    <fill>
      <patternFill patternType="solid">
        <fgColor theme="7"/>
        <bgColor rgb="FFD8D8D8"/>
      </patternFill>
    </fill>
    <fill>
      <patternFill patternType="solid">
        <fgColor theme="7"/>
        <bgColor rgb="FFFFC000"/>
      </patternFill>
    </fill>
    <fill>
      <patternFill patternType="solid">
        <fgColor rgb="FF05B0F0"/>
        <bgColor rgb="FFFFC000"/>
      </patternFill>
    </fill>
    <fill>
      <patternFill patternType="solid">
        <fgColor theme="2" tint="-0.14999847407452621"/>
        <bgColor indexed="64"/>
      </patternFill>
    </fill>
    <fill>
      <patternFill patternType="solid">
        <fgColor theme="0" tint="-0.14999847407452621"/>
        <bgColor theme="0"/>
      </patternFill>
    </fill>
    <fill>
      <patternFill patternType="solid">
        <fgColor rgb="FFDEEBF7"/>
        <bgColor rgb="FFFFFF00"/>
      </patternFill>
    </fill>
    <fill>
      <patternFill patternType="solid">
        <fgColor rgb="FF7F7F7F"/>
        <bgColor indexed="64"/>
      </patternFill>
    </fill>
    <fill>
      <patternFill patternType="solid">
        <fgColor rgb="FFB4C6E7"/>
        <bgColor indexed="64"/>
      </patternFill>
    </fill>
    <fill>
      <patternFill patternType="solid">
        <fgColor theme="6" tint="0.39997558519241921"/>
        <bgColor indexed="64"/>
      </patternFill>
    </fill>
    <fill>
      <patternFill patternType="solid">
        <fgColor theme="2"/>
        <bgColor indexed="64"/>
      </patternFill>
    </fill>
    <fill>
      <patternFill patternType="solid">
        <fgColor theme="9" tint="0.39997558519241921"/>
        <bgColor theme="0"/>
      </patternFill>
    </fill>
    <fill>
      <patternFill patternType="solid">
        <fgColor rgb="FF54DA00"/>
        <bgColor indexed="64"/>
      </patternFill>
    </fill>
    <fill>
      <patternFill patternType="solid">
        <fgColor rgb="FF54DA00"/>
        <bgColor theme="0"/>
      </patternFill>
    </fill>
    <fill>
      <patternFill patternType="solid">
        <fgColor rgb="FFFFC400"/>
        <bgColor theme="0"/>
      </patternFill>
    </fill>
    <fill>
      <patternFill patternType="solid">
        <fgColor rgb="FFF2F2F2"/>
      </patternFill>
    </fill>
    <fill>
      <patternFill patternType="solid">
        <fgColor theme="2"/>
        <bgColor theme="0"/>
      </patternFill>
    </fill>
    <fill>
      <patternFill patternType="solid">
        <fgColor theme="2"/>
        <bgColor rgb="FFD8D8D8"/>
      </patternFill>
    </fill>
    <fill>
      <patternFill patternType="solid">
        <fgColor theme="0" tint="-0.14999847407452621"/>
        <bgColor rgb="FFFFFFFF"/>
      </patternFill>
    </fill>
    <fill>
      <patternFill patternType="solid">
        <fgColor theme="0"/>
        <bgColor rgb="FFFFC000"/>
      </patternFill>
    </fill>
    <fill>
      <patternFill patternType="solid">
        <fgColor theme="7"/>
        <bgColor rgb="FFFFFF99"/>
      </patternFill>
    </fill>
    <fill>
      <patternFill patternType="solid">
        <fgColor rgb="FF05B0F0"/>
        <bgColor rgb="FF00B0F0"/>
      </patternFill>
    </fill>
    <fill>
      <patternFill patternType="solid">
        <fgColor theme="0" tint="-0.499984740745262"/>
        <bgColor indexed="64"/>
      </patternFill>
    </fill>
    <fill>
      <patternFill patternType="solid">
        <fgColor theme="5"/>
        <bgColor rgb="FFA8D08D"/>
      </patternFill>
    </fill>
    <fill>
      <patternFill patternType="solid">
        <fgColor theme="0" tint="-0.14999847407452621"/>
        <bgColor rgb="FF000000"/>
      </patternFill>
    </fill>
    <fill>
      <patternFill patternType="solid">
        <fgColor theme="0" tint="-0.499984740745262"/>
        <bgColor theme="0"/>
      </patternFill>
    </fill>
    <fill>
      <patternFill patternType="solid">
        <fgColor theme="0" tint="-0.499984740745262"/>
        <bgColor rgb="FFFFFFFF"/>
      </patternFill>
    </fill>
    <fill>
      <patternFill patternType="solid">
        <fgColor theme="0" tint="-0.499984740745262"/>
        <bgColor rgb="FFFFFF00"/>
      </patternFill>
    </fill>
    <fill>
      <patternFill patternType="solid">
        <fgColor theme="0" tint="-0.499984740745262"/>
        <bgColor rgb="FF000000"/>
      </patternFill>
    </fill>
    <fill>
      <patternFill patternType="solid">
        <fgColor theme="9" tint="0.39997558519241921"/>
        <bgColor indexed="64"/>
      </patternFill>
    </fill>
    <fill>
      <patternFill patternType="solid">
        <fgColor theme="9" tint="0.39997558519241921"/>
        <bgColor rgb="FFFFFFFF"/>
      </patternFill>
    </fill>
    <fill>
      <patternFill patternType="solid">
        <fgColor theme="9" tint="0.39997558519241921"/>
        <bgColor rgb="FFA8D08D"/>
      </patternFill>
    </fill>
    <fill>
      <patternFill patternType="solid">
        <fgColor theme="9" tint="0.39997558519241921"/>
        <bgColor rgb="FFF4B083"/>
      </patternFill>
    </fill>
    <fill>
      <patternFill patternType="solid">
        <fgColor theme="4" tint="0.79998168889431442"/>
        <bgColor rgb="FFDEEAF6"/>
      </patternFill>
    </fill>
    <fill>
      <patternFill patternType="solid">
        <fgColor theme="9" tint="0.79998168889431442"/>
        <bgColor rgb="FFE2EFD9"/>
      </patternFill>
    </fill>
    <fill>
      <patternFill patternType="solid">
        <fgColor theme="2" tint="-0.14999847407452621"/>
        <bgColor rgb="FF000000"/>
      </patternFill>
    </fill>
    <fill>
      <patternFill patternType="solid">
        <fgColor theme="2" tint="-0.14999847407452621"/>
        <bgColor rgb="FFD8D8D8"/>
      </patternFill>
    </fill>
    <fill>
      <patternFill patternType="solid">
        <fgColor theme="2" tint="-0.249977111117893"/>
        <bgColor rgb="FFD0CECE"/>
      </patternFill>
    </fill>
    <fill>
      <patternFill patternType="solid">
        <fgColor theme="9" tint="0.79998168889431442"/>
        <bgColor indexed="64"/>
      </patternFill>
    </fill>
    <fill>
      <patternFill patternType="solid">
        <fgColor rgb="FF00B050"/>
        <bgColor rgb="FF92D050"/>
      </patternFill>
    </fill>
  </fills>
  <borders count="56">
    <border>
      <left/>
      <right/>
      <top/>
      <bottom/>
      <diagonal/>
    </border>
    <border>
      <left/>
      <right/>
      <top/>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bottom/>
      <diagonal/>
    </border>
    <border>
      <left style="thin">
        <color indexed="64"/>
      </left>
      <right style="thin">
        <color indexed="64"/>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rgb="FF000000"/>
      </left>
      <right style="thin">
        <color rgb="FF000000"/>
      </right>
      <top style="thin">
        <color rgb="FF000000"/>
      </top>
      <bottom style="thin">
        <color indexed="64"/>
      </bottom>
      <diagonal/>
    </border>
    <border>
      <left/>
      <right/>
      <top style="medium">
        <color rgb="FF000000"/>
      </top>
      <bottom/>
      <diagonal/>
    </border>
    <border>
      <left style="thin">
        <color indexed="64"/>
      </left>
      <right/>
      <top style="thin">
        <color indexed="64"/>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right style="thin">
        <color rgb="FF000000"/>
      </right>
      <top style="medium">
        <color rgb="FF000000"/>
      </top>
      <bottom style="medium">
        <color rgb="FF000000"/>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000000"/>
      </top>
      <bottom style="thin">
        <color indexed="64"/>
      </bottom>
      <diagonal/>
    </border>
    <border>
      <left style="thin">
        <color indexed="64"/>
      </left>
      <right/>
      <top style="medium">
        <color rgb="FF000000"/>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thin">
        <color indexed="64"/>
      </left>
      <right/>
      <top/>
      <bottom/>
      <diagonal/>
    </border>
    <border>
      <left/>
      <right/>
      <top/>
      <bottom style="thin">
        <color indexed="64"/>
      </bottom>
      <diagonal/>
    </border>
    <border>
      <left style="thin">
        <color indexed="64"/>
      </left>
      <right/>
      <top style="thin">
        <color rgb="FF000000"/>
      </top>
      <bottom style="thin">
        <color rgb="FF000000"/>
      </bottom>
      <diagonal/>
    </border>
    <border>
      <left/>
      <right style="thin">
        <color indexed="64"/>
      </right>
      <top/>
      <bottom/>
      <diagonal/>
    </border>
    <border>
      <left/>
      <right style="thin">
        <color rgb="FF000000"/>
      </right>
      <top style="thin">
        <color rgb="FF000000"/>
      </top>
      <bottom style="thin">
        <color indexed="64"/>
      </bottom>
      <diagonal/>
    </border>
  </borders>
  <cellStyleXfs count="8">
    <xf numFmtId="0" fontId="0" fillId="0" borderId="0"/>
    <xf numFmtId="0" fontId="3" fillId="0" borderId="0" applyNumberFormat="0" applyFill="0" applyBorder="0" applyAlignment="0" applyProtection="0"/>
    <xf numFmtId="0" fontId="29" fillId="0" borderId="1"/>
    <xf numFmtId="0" fontId="23" fillId="0" borderId="1" applyNumberFormat="0" applyFill="0" applyBorder="0" applyAlignment="0" applyProtection="0"/>
    <xf numFmtId="43" fontId="71" fillId="0" borderId="0" applyFont="0" applyFill="0" applyBorder="0" applyAlignment="0" applyProtection="0"/>
    <xf numFmtId="0" fontId="72" fillId="0" borderId="1"/>
    <xf numFmtId="0" fontId="75" fillId="88" borderId="30" applyNumberFormat="0" applyAlignment="0" applyProtection="0"/>
    <xf numFmtId="0" fontId="24" fillId="0" borderId="1"/>
  </cellStyleXfs>
  <cellXfs count="1552">
    <xf numFmtId="0" fontId="0" fillId="0" borderId="0" xfId="0"/>
    <xf numFmtId="0" fontId="1" fillId="0" borderId="0" xfId="0" applyFont="1"/>
    <xf numFmtId="0" fontId="1" fillId="2" borderId="1" xfId="0" applyFont="1" applyFill="1" applyBorder="1"/>
    <xf numFmtId="0" fontId="2" fillId="0" borderId="0" xfId="0" applyFont="1"/>
    <xf numFmtId="0" fontId="1" fillId="0" borderId="0" xfId="0" applyFont="1" applyAlignment="1">
      <alignment wrapText="1"/>
    </xf>
    <xf numFmtId="0" fontId="1" fillId="0" borderId="0" xfId="0" applyFont="1" applyAlignment="1">
      <alignment horizontal="center"/>
    </xf>
    <xf numFmtId="43" fontId="1" fillId="0" borderId="0" xfId="0" applyNumberFormat="1" applyFont="1" applyAlignment="1">
      <alignment horizontal="center"/>
    </xf>
    <xf numFmtId="0" fontId="7" fillId="8" borderId="4" xfId="0" applyFont="1" applyFill="1" applyBorder="1" applyAlignment="1">
      <alignment horizontal="center" wrapText="1"/>
    </xf>
    <xf numFmtId="0" fontId="9" fillId="0" borderId="0" xfId="0" applyFont="1"/>
    <xf numFmtId="0" fontId="9" fillId="8" borderId="4" xfId="0" applyFont="1" applyFill="1" applyBorder="1" applyAlignment="1">
      <alignment wrapText="1"/>
    </xf>
    <xf numFmtId="0" fontId="10" fillId="8" borderId="8" xfId="0" applyFont="1" applyFill="1" applyBorder="1" applyAlignment="1">
      <alignment wrapText="1"/>
    </xf>
    <xf numFmtId="0" fontId="9" fillId="8" borderId="8" xfId="0" applyFont="1" applyFill="1" applyBorder="1" applyAlignment="1">
      <alignment horizontal="center" wrapText="1"/>
    </xf>
    <xf numFmtId="3" fontId="9" fillId="4" borderId="8" xfId="0" applyNumberFormat="1" applyFont="1" applyFill="1" applyBorder="1" applyAlignment="1">
      <alignment horizontal="center" wrapText="1"/>
    </xf>
    <xf numFmtId="0" fontId="9" fillId="8" borderId="6" xfId="0" applyFont="1" applyFill="1" applyBorder="1" applyAlignment="1">
      <alignment horizontal="center" wrapText="1"/>
    </xf>
    <xf numFmtId="0" fontId="9" fillId="3" borderId="6" xfId="0" applyFont="1" applyFill="1" applyBorder="1" applyAlignment="1">
      <alignment wrapText="1"/>
    </xf>
    <xf numFmtId="3" fontId="9" fillId="3" borderId="6" xfId="0" applyNumberFormat="1" applyFont="1" applyFill="1" applyBorder="1" applyAlignment="1">
      <alignment wrapText="1"/>
    </xf>
    <xf numFmtId="0" fontId="9" fillId="11" borderId="6" xfId="0" applyFont="1" applyFill="1" applyBorder="1" applyAlignment="1">
      <alignment wrapText="1"/>
    </xf>
    <xf numFmtId="0" fontId="10" fillId="8" borderId="4" xfId="0" applyFont="1" applyFill="1" applyBorder="1" applyAlignment="1">
      <alignment wrapText="1"/>
    </xf>
    <xf numFmtId="0" fontId="10" fillId="3" borderId="6" xfId="0" applyFont="1" applyFill="1" applyBorder="1" applyAlignment="1">
      <alignment wrapText="1"/>
    </xf>
    <xf numFmtId="0" fontId="9" fillId="8" borderId="4" xfId="0" applyFont="1" applyFill="1" applyBorder="1" applyAlignment="1">
      <alignment horizontal="right" wrapText="1"/>
    </xf>
    <xf numFmtId="0" fontId="9" fillId="8" borderId="7" xfId="0" applyFont="1" applyFill="1" applyBorder="1" applyAlignment="1">
      <alignment wrapText="1"/>
    </xf>
    <xf numFmtId="2" fontId="9" fillId="8" borderId="6" xfId="0" applyNumberFormat="1" applyFont="1" applyFill="1" applyBorder="1" applyAlignment="1">
      <alignment horizontal="right" wrapText="1"/>
    </xf>
    <xf numFmtId="3" fontId="9" fillId="8" borderId="6" xfId="0" applyNumberFormat="1" applyFont="1" applyFill="1" applyBorder="1" applyAlignment="1">
      <alignment horizontal="center" wrapText="1"/>
    </xf>
    <xf numFmtId="0" fontId="9" fillId="8" borderId="6" xfId="0" applyFont="1" applyFill="1" applyBorder="1" applyAlignment="1">
      <alignment horizontal="right" wrapText="1"/>
    </xf>
    <xf numFmtId="0" fontId="9" fillId="8" borderId="1" xfId="0" applyFont="1" applyFill="1" applyBorder="1" applyAlignment="1">
      <alignment wrapText="1"/>
    </xf>
    <xf numFmtId="3" fontId="9" fillId="8" borderId="6" xfId="0" applyNumberFormat="1" applyFont="1" applyFill="1" applyBorder="1" applyAlignment="1">
      <alignment wrapText="1"/>
    </xf>
    <xf numFmtId="3" fontId="9" fillId="4" borderId="6" xfId="0" applyNumberFormat="1" applyFont="1" applyFill="1" applyBorder="1" applyAlignment="1">
      <alignment wrapText="1"/>
    </xf>
    <xf numFmtId="3" fontId="9" fillId="4" borderId="6" xfId="0" applyNumberFormat="1" applyFont="1" applyFill="1" applyBorder="1" applyAlignment="1">
      <alignment horizontal="center" wrapText="1"/>
    </xf>
    <xf numFmtId="0" fontId="9" fillId="8" borderId="9" xfId="0" applyFont="1" applyFill="1" applyBorder="1" applyAlignment="1">
      <alignment wrapText="1"/>
    </xf>
    <xf numFmtId="3" fontId="9" fillId="11" borderId="6" xfId="0" applyNumberFormat="1" applyFont="1" applyFill="1" applyBorder="1" applyAlignment="1">
      <alignment wrapText="1"/>
    </xf>
    <xf numFmtId="0" fontId="9" fillId="8" borderId="8" xfId="0" applyFont="1" applyFill="1" applyBorder="1" applyAlignment="1">
      <alignment horizontal="left" wrapText="1"/>
    </xf>
    <xf numFmtId="0" fontId="9" fillId="0" borderId="6" xfId="0" applyFont="1" applyBorder="1" applyAlignment="1">
      <alignment horizontal="center"/>
    </xf>
    <xf numFmtId="1" fontId="9" fillId="8" borderId="6" xfId="0" applyNumberFormat="1" applyFont="1" applyFill="1" applyBorder="1" applyAlignment="1">
      <alignment horizontal="right" wrapText="1"/>
    </xf>
    <xf numFmtId="0" fontId="9" fillId="8" borderId="8" xfId="0" applyFont="1" applyFill="1" applyBorder="1" applyAlignment="1">
      <alignment wrapText="1"/>
    </xf>
    <xf numFmtId="3" fontId="9" fillId="4" borderId="8" xfId="0" applyNumberFormat="1" applyFont="1" applyFill="1" applyBorder="1" applyAlignment="1">
      <alignment horizontal="right" wrapText="1"/>
    </xf>
    <xf numFmtId="0" fontId="9" fillId="8" borderId="6" xfId="0" applyFont="1" applyFill="1" applyBorder="1" applyAlignment="1">
      <alignment horizontal="left" wrapText="1"/>
    </xf>
    <xf numFmtId="3" fontId="9" fillId="4" borderId="6" xfId="0" applyNumberFormat="1" applyFont="1" applyFill="1" applyBorder="1" applyAlignment="1">
      <alignment horizontal="right" wrapText="1"/>
    </xf>
    <xf numFmtId="0" fontId="9" fillId="3" borderId="9" xfId="0" applyFont="1" applyFill="1" applyBorder="1" applyAlignment="1">
      <alignment wrapText="1"/>
    </xf>
    <xf numFmtId="0" fontId="9" fillId="3" borderId="7" xfId="0" applyFont="1" applyFill="1" applyBorder="1" applyAlignment="1">
      <alignment wrapText="1"/>
    </xf>
    <xf numFmtId="3" fontId="9" fillId="8" borderId="8" xfId="0" applyNumberFormat="1" applyFont="1" applyFill="1" applyBorder="1" applyAlignment="1">
      <alignment horizontal="center" wrapText="1"/>
    </xf>
    <xf numFmtId="0" fontId="9" fillId="8" borderId="8" xfId="0" applyFont="1" applyFill="1" applyBorder="1" applyAlignment="1">
      <alignment horizontal="right" wrapText="1"/>
    </xf>
    <xf numFmtId="0" fontId="10" fillId="0" borderId="11" xfId="0" applyFont="1" applyBorder="1" applyAlignment="1">
      <alignment wrapText="1"/>
    </xf>
    <xf numFmtId="0" fontId="9" fillId="0" borderId="11" xfId="0" applyFont="1" applyBorder="1" applyAlignment="1">
      <alignment wrapText="1"/>
    </xf>
    <xf numFmtId="0" fontId="9" fillId="0" borderId="11" xfId="0" applyFont="1" applyBorder="1" applyAlignment="1">
      <alignment horizontal="center" wrapText="1"/>
    </xf>
    <xf numFmtId="0" fontId="9" fillId="0" borderId="11" xfId="0" applyFont="1" applyBorder="1" applyAlignment="1">
      <alignment horizontal="left" wrapText="1"/>
    </xf>
    <xf numFmtId="0" fontId="9" fillId="0" borderId="11" xfId="0" applyFont="1" applyBorder="1" applyAlignment="1">
      <alignment horizontal="right" wrapText="1"/>
    </xf>
    <xf numFmtId="1" fontId="9" fillId="0" borderId="11" xfId="0" applyNumberFormat="1" applyFont="1" applyBorder="1" applyAlignment="1">
      <alignment horizontal="right" wrapText="1"/>
    </xf>
    <xf numFmtId="0" fontId="9" fillId="0" borderId="12" xfId="0" applyFont="1" applyBorder="1" applyAlignment="1">
      <alignment wrapText="1"/>
    </xf>
    <xf numFmtId="0" fontId="9" fillId="0" borderId="6" xfId="0" applyFont="1" applyBorder="1" applyAlignment="1">
      <alignment horizontal="left" wrapText="1"/>
    </xf>
    <xf numFmtId="164" fontId="9" fillId="8" borderId="6" xfId="0" applyNumberFormat="1" applyFont="1" applyFill="1" applyBorder="1" applyAlignment="1">
      <alignment wrapText="1"/>
    </xf>
    <xf numFmtId="3" fontId="9" fillId="8" borderId="6" xfId="0" applyNumberFormat="1" applyFont="1" applyFill="1" applyBorder="1" applyAlignment="1">
      <alignment horizontal="right" wrapText="1"/>
    </xf>
    <xf numFmtId="2" fontId="9" fillId="8" borderId="6" xfId="0" applyNumberFormat="1" applyFont="1" applyFill="1" applyBorder="1" applyAlignment="1">
      <alignment horizontal="center" wrapText="1"/>
    </xf>
    <xf numFmtId="0" fontId="9" fillId="9" borderId="6" xfId="0" applyFont="1" applyFill="1" applyBorder="1" applyAlignment="1">
      <alignment wrapText="1"/>
    </xf>
    <xf numFmtId="0" fontId="10" fillId="9" borderId="6" xfId="0" applyFont="1" applyFill="1" applyBorder="1" applyAlignment="1">
      <alignment wrapText="1"/>
    </xf>
    <xf numFmtId="0" fontId="9" fillId="0" borderId="6" xfId="0" applyFont="1" applyBorder="1" applyAlignment="1">
      <alignment horizontal="center" wrapText="1"/>
    </xf>
    <xf numFmtId="49" fontId="9" fillId="0" borderId="6" xfId="0" applyNumberFormat="1" applyFont="1" applyBorder="1" applyAlignment="1">
      <alignment horizontal="center" wrapText="1"/>
    </xf>
    <xf numFmtId="3" fontId="9" fillId="0" borderId="6" xfId="0" applyNumberFormat="1" applyFont="1" applyBorder="1" applyAlignment="1">
      <alignment horizontal="center" wrapText="1"/>
    </xf>
    <xf numFmtId="0" fontId="10" fillId="0" borderId="6" xfId="0" applyFont="1" applyBorder="1" applyAlignment="1">
      <alignment wrapText="1"/>
    </xf>
    <xf numFmtId="3" fontId="9" fillId="9" borderId="6" xfId="0" applyNumberFormat="1" applyFont="1" applyFill="1" applyBorder="1" applyAlignment="1">
      <alignment horizontal="center" wrapText="1"/>
    </xf>
    <xf numFmtId="3" fontId="9" fillId="0" borderId="6" xfId="0" applyNumberFormat="1" applyFont="1" applyBorder="1" applyAlignment="1">
      <alignment horizontal="right" wrapText="1"/>
    </xf>
    <xf numFmtId="3" fontId="9" fillId="0" borderId="6" xfId="0" applyNumberFormat="1" applyFont="1" applyBorder="1" applyAlignment="1">
      <alignment horizontal="left" wrapText="1"/>
    </xf>
    <xf numFmtId="0" fontId="9" fillId="0" borderId="6" xfId="0" applyFont="1" applyBorder="1" applyAlignment="1">
      <alignment horizontal="right" wrapText="1"/>
    </xf>
    <xf numFmtId="0" fontId="10" fillId="8" borderId="7" xfId="0" applyFont="1" applyFill="1" applyBorder="1" applyAlignment="1">
      <alignment wrapText="1"/>
    </xf>
    <xf numFmtId="0" fontId="10" fillId="8" borderId="8" xfId="0" applyFont="1" applyFill="1" applyBorder="1" applyAlignment="1">
      <alignment horizontal="left" wrapText="1"/>
    </xf>
    <xf numFmtId="2" fontId="9" fillId="8" borderId="8" xfId="0" applyNumberFormat="1" applyFont="1" applyFill="1" applyBorder="1" applyAlignment="1">
      <alignment horizontal="center" wrapText="1"/>
    </xf>
    <xf numFmtId="0" fontId="1" fillId="0" borderId="0" xfId="0" applyFont="1" applyAlignment="1">
      <alignment horizontal="left"/>
    </xf>
    <xf numFmtId="0" fontId="0" fillId="0" borderId="0" xfId="0" applyAlignment="1">
      <alignment wrapText="1"/>
    </xf>
    <xf numFmtId="0" fontId="0" fillId="0" borderId="0" xfId="0" applyAlignment="1">
      <alignment horizontal="center" wrapText="1"/>
    </xf>
    <xf numFmtId="0" fontId="13" fillId="0" borderId="0" xfId="0" applyFont="1" applyAlignment="1">
      <alignment wrapText="1"/>
    </xf>
    <xf numFmtId="0" fontId="13" fillId="0" borderId="0" xfId="0" applyFont="1" applyAlignment="1">
      <alignment horizontal="center" wrapText="1"/>
    </xf>
    <xf numFmtId="0" fontId="16" fillId="0" borderId="0" xfId="0" applyFont="1" applyAlignment="1">
      <alignment horizontal="center" wrapText="1"/>
    </xf>
    <xf numFmtId="0" fontId="17" fillId="0" borderId="0" xfId="0" applyFont="1"/>
    <xf numFmtId="0" fontId="18" fillId="0" borderId="0" xfId="0" applyFont="1"/>
    <xf numFmtId="0" fontId="2" fillId="10" borderId="8" xfId="0" applyFont="1" applyFill="1" applyBorder="1" applyAlignment="1">
      <alignment wrapText="1"/>
    </xf>
    <xf numFmtId="0" fontId="15" fillId="0" borderId="0" xfId="0" applyFont="1" applyAlignment="1">
      <alignment wrapText="1"/>
    </xf>
    <xf numFmtId="0" fontId="15" fillId="9" borderId="1" xfId="0" applyFont="1" applyFill="1" applyBorder="1" applyAlignment="1">
      <alignment wrapText="1"/>
    </xf>
    <xf numFmtId="0" fontId="16" fillId="0" borderId="0" xfId="0" applyFont="1" applyAlignment="1">
      <alignment wrapText="1"/>
    </xf>
    <xf numFmtId="0" fontId="4" fillId="10" borderId="9" xfId="0" applyFont="1" applyFill="1" applyBorder="1"/>
    <xf numFmtId="3" fontId="1" fillId="0" borderId="0" xfId="0" applyNumberFormat="1" applyFont="1"/>
    <xf numFmtId="4" fontId="1" fillId="0" borderId="0" xfId="0" applyNumberFormat="1" applyFont="1"/>
    <xf numFmtId="0" fontId="7" fillId="9" borderId="4" xfId="0" applyFont="1" applyFill="1" applyBorder="1" applyAlignment="1">
      <alignment horizontal="center" wrapText="1"/>
    </xf>
    <xf numFmtId="3" fontId="7" fillId="9" borderId="4" xfId="0" applyNumberFormat="1" applyFont="1" applyFill="1" applyBorder="1" applyAlignment="1">
      <alignment horizontal="center" wrapText="1"/>
    </xf>
    <xf numFmtId="166" fontId="7" fillId="9" borderId="4" xfId="0" applyNumberFormat="1" applyFont="1" applyFill="1" applyBorder="1" applyAlignment="1">
      <alignment horizontal="center" wrapText="1"/>
    </xf>
    <xf numFmtId="1" fontId="7" fillId="9" borderId="4" xfId="0" applyNumberFormat="1" applyFont="1" applyFill="1" applyBorder="1" applyAlignment="1">
      <alignment horizontal="center" wrapText="1"/>
    </xf>
    <xf numFmtId="14" fontId="9" fillId="8" borderId="6" xfId="0" applyNumberFormat="1" applyFont="1" applyFill="1" applyBorder="1" applyAlignment="1">
      <alignment horizontal="right" wrapText="1"/>
    </xf>
    <xf numFmtId="3" fontId="9" fillId="11" borderId="8" xfId="0" applyNumberFormat="1" applyFont="1" applyFill="1" applyBorder="1" applyAlignment="1">
      <alignment wrapText="1"/>
    </xf>
    <xf numFmtId="0" fontId="10" fillId="8" borderId="6" xfId="0" applyFont="1" applyFill="1" applyBorder="1"/>
    <xf numFmtId="0" fontId="9" fillId="12" borderId="6" xfId="0" applyFont="1" applyFill="1" applyBorder="1" applyAlignment="1">
      <alignment wrapText="1"/>
    </xf>
    <xf numFmtId="0" fontId="9" fillId="9" borderId="6" xfId="0" applyFont="1" applyFill="1" applyBorder="1"/>
    <xf numFmtId="0" fontId="9" fillId="9" borderId="6" xfId="0" applyFont="1" applyFill="1" applyBorder="1" applyAlignment="1">
      <alignment horizontal="center" wrapText="1"/>
    </xf>
    <xf numFmtId="0" fontId="9" fillId="9" borderId="6" xfId="0" applyFont="1" applyFill="1" applyBorder="1" applyAlignment="1">
      <alignment horizontal="center"/>
    </xf>
    <xf numFmtId="0" fontId="9" fillId="9" borderId="9" xfId="0" applyFont="1" applyFill="1" applyBorder="1"/>
    <xf numFmtId="0" fontId="9" fillId="3" borderId="6" xfId="0" applyFont="1" applyFill="1" applyBorder="1" applyAlignment="1">
      <alignment horizontal="left" wrapText="1"/>
    </xf>
    <xf numFmtId="0" fontId="9" fillId="8" borderId="6" xfId="0" applyFont="1" applyFill="1" applyBorder="1"/>
    <xf numFmtId="0" fontId="9" fillId="8" borderId="6" xfId="0" applyFont="1" applyFill="1" applyBorder="1" applyAlignment="1">
      <alignment horizontal="center"/>
    </xf>
    <xf numFmtId="0" fontId="9" fillId="9" borderId="6" xfId="0" applyFont="1" applyFill="1" applyBorder="1" applyAlignment="1">
      <alignment horizontal="left" wrapText="1"/>
    </xf>
    <xf numFmtId="3" fontId="10" fillId="8" borderId="6" xfId="0" applyNumberFormat="1" applyFont="1" applyFill="1" applyBorder="1" applyAlignment="1">
      <alignment wrapText="1"/>
    </xf>
    <xf numFmtId="3" fontId="10" fillId="3" borderId="6" xfId="0" applyNumberFormat="1" applyFont="1" applyFill="1" applyBorder="1" applyAlignment="1">
      <alignment wrapText="1"/>
    </xf>
    <xf numFmtId="0" fontId="9" fillId="3" borderId="4" xfId="0" applyFont="1" applyFill="1" applyBorder="1" applyAlignment="1">
      <alignment wrapText="1"/>
    </xf>
    <xf numFmtId="3" fontId="9" fillId="14" borderId="6" xfId="0" applyNumberFormat="1" applyFont="1" applyFill="1" applyBorder="1" applyAlignment="1">
      <alignment wrapText="1"/>
    </xf>
    <xf numFmtId="165" fontId="9" fillId="3" borderId="4" xfId="0" applyNumberFormat="1" applyFont="1" applyFill="1" applyBorder="1" applyAlignment="1">
      <alignment wrapText="1"/>
    </xf>
    <xf numFmtId="3" fontId="9" fillId="0" borderId="0" xfId="0" applyNumberFormat="1" applyFont="1" applyAlignment="1">
      <alignment wrapText="1"/>
    </xf>
    <xf numFmtId="3" fontId="9" fillId="8" borderId="9" xfId="0" applyNumberFormat="1" applyFont="1" applyFill="1" applyBorder="1" applyAlignment="1">
      <alignment wrapText="1"/>
    </xf>
    <xf numFmtId="3" fontId="9" fillId="9" borderId="6" xfId="0" applyNumberFormat="1" applyFont="1" applyFill="1" applyBorder="1" applyAlignment="1">
      <alignment wrapText="1"/>
    </xf>
    <xf numFmtId="0" fontId="1" fillId="0" borderId="6" xfId="0" applyFont="1" applyBorder="1"/>
    <xf numFmtId="0" fontId="19" fillId="0" borderId="0" xfId="0" applyFont="1"/>
    <xf numFmtId="3" fontId="22" fillId="0" borderId="6" xfId="0" applyNumberFormat="1" applyFont="1" applyBorder="1"/>
    <xf numFmtId="0" fontId="10" fillId="0" borderId="6" xfId="0" applyFont="1" applyBorder="1" applyAlignment="1">
      <alignment horizontal="left" wrapText="1"/>
    </xf>
    <xf numFmtId="1" fontId="9" fillId="8" borderId="6" xfId="0" applyNumberFormat="1" applyFont="1" applyFill="1" applyBorder="1" applyAlignment="1">
      <alignment horizontal="left" wrapText="1"/>
    </xf>
    <xf numFmtId="0" fontId="10" fillId="5" borderId="11" xfId="0" applyFont="1" applyFill="1" applyBorder="1" applyAlignment="1">
      <alignment wrapText="1"/>
    </xf>
    <xf numFmtId="0" fontId="9" fillId="3" borderId="1" xfId="0" applyFont="1" applyFill="1" applyBorder="1" applyAlignment="1">
      <alignment horizontal="left" wrapText="1"/>
    </xf>
    <xf numFmtId="0" fontId="10" fillId="8" borderId="6" xfId="0" applyFont="1" applyFill="1" applyBorder="1" applyAlignment="1">
      <alignment horizontal="left" wrapText="1"/>
    </xf>
    <xf numFmtId="0" fontId="9" fillId="8" borderId="6" xfId="0" applyFont="1" applyFill="1" applyBorder="1" applyAlignment="1">
      <alignment wrapText="1"/>
    </xf>
    <xf numFmtId="0" fontId="10" fillId="8" borderId="6" xfId="0" applyFont="1" applyFill="1" applyBorder="1" applyAlignment="1">
      <alignment wrapText="1"/>
    </xf>
    <xf numFmtId="0" fontId="9" fillId="9" borderId="6" xfId="0" applyFont="1" applyFill="1" applyBorder="1" applyAlignment="1">
      <alignment horizontal="right" wrapText="1"/>
    </xf>
    <xf numFmtId="0" fontId="4" fillId="10" borderId="6" xfId="0" applyFont="1" applyFill="1" applyBorder="1" applyAlignment="1">
      <alignment horizontal="center" wrapText="1"/>
    </xf>
    <xf numFmtId="0" fontId="2" fillId="0" borderId="0" xfId="0" applyFont="1" applyAlignment="1">
      <alignment wrapText="1"/>
    </xf>
    <xf numFmtId="43" fontId="1" fillId="0" borderId="0" xfId="0" applyNumberFormat="1" applyFont="1"/>
    <xf numFmtId="3" fontId="7" fillId="8" borderId="4" xfId="0" applyNumberFormat="1" applyFont="1" applyFill="1" applyBorder="1" applyAlignment="1">
      <alignment horizontal="center" wrapText="1"/>
    </xf>
    <xf numFmtId="164" fontId="7" fillId="8" borderId="4" xfId="0" applyNumberFormat="1" applyFont="1" applyFill="1" applyBorder="1" applyAlignment="1">
      <alignment horizontal="center" wrapText="1"/>
    </xf>
    <xf numFmtId="1" fontId="7" fillId="8" borderId="4" xfId="0" applyNumberFormat="1" applyFont="1" applyFill="1" applyBorder="1" applyAlignment="1">
      <alignment horizontal="center" wrapText="1"/>
    </xf>
    <xf numFmtId="166" fontId="7" fillId="8" borderId="4" xfId="0" applyNumberFormat="1" applyFont="1" applyFill="1" applyBorder="1" applyAlignment="1">
      <alignment horizontal="center" wrapText="1"/>
    </xf>
    <xf numFmtId="2" fontId="7" fillId="8" borderId="4" xfId="0" applyNumberFormat="1" applyFont="1" applyFill="1" applyBorder="1" applyAlignment="1">
      <alignment horizontal="center" wrapText="1"/>
    </xf>
    <xf numFmtId="164" fontId="9" fillId="3" borderId="6" xfId="0" applyNumberFormat="1" applyFont="1" applyFill="1" applyBorder="1" applyAlignment="1">
      <alignment horizontal="left" wrapText="1"/>
    </xf>
    <xf numFmtId="164" fontId="9" fillId="8" borderId="6" xfId="0" applyNumberFormat="1" applyFont="1" applyFill="1" applyBorder="1" applyAlignment="1">
      <alignment horizontal="left" wrapText="1"/>
    </xf>
    <xf numFmtId="170" fontId="9" fillId="8" borderId="6" xfId="0" applyNumberFormat="1" applyFont="1" applyFill="1" applyBorder="1" applyAlignment="1">
      <alignment horizontal="right" wrapText="1"/>
    </xf>
    <xf numFmtId="2" fontId="9" fillId="9" borderId="6" xfId="0" applyNumberFormat="1" applyFont="1" applyFill="1" applyBorder="1" applyAlignment="1">
      <alignment horizontal="right" wrapText="1"/>
    </xf>
    <xf numFmtId="164" fontId="9" fillId="6" borderId="9" xfId="0" applyNumberFormat="1" applyFont="1" applyFill="1" applyBorder="1" applyAlignment="1">
      <alignment horizontal="left" wrapText="1"/>
    </xf>
    <xf numFmtId="1" fontId="9" fillId="3" borderId="6" xfId="0" applyNumberFormat="1" applyFont="1" applyFill="1" applyBorder="1" applyAlignment="1">
      <alignment horizontal="left" wrapText="1"/>
    </xf>
    <xf numFmtId="2" fontId="9" fillId="8" borderId="6" xfId="0" applyNumberFormat="1" applyFont="1" applyFill="1" applyBorder="1" applyAlignment="1">
      <alignment horizontal="left" wrapText="1"/>
    </xf>
    <xf numFmtId="0" fontId="4" fillId="10" borderId="6" xfId="0" applyFont="1" applyFill="1" applyBorder="1" applyAlignment="1">
      <alignment wrapText="1"/>
    </xf>
    <xf numFmtId="0" fontId="29" fillId="0" borderId="0" xfId="0" applyFont="1"/>
    <xf numFmtId="0" fontId="22" fillId="0" borderId="0" xfId="0" applyFont="1"/>
    <xf numFmtId="0" fontId="16" fillId="0" borderId="0" xfId="0" applyFont="1"/>
    <xf numFmtId="0" fontId="32" fillId="0" borderId="0" xfId="0" applyFont="1" applyAlignment="1">
      <alignment horizontal="left"/>
    </xf>
    <xf numFmtId="10" fontId="28" fillId="0" borderId="0" xfId="0" applyNumberFormat="1" applyFont="1"/>
    <xf numFmtId="0" fontId="33" fillId="10" borderId="6" xfId="0" applyFont="1" applyFill="1" applyBorder="1"/>
    <xf numFmtId="0" fontId="33" fillId="13" borderId="6" xfId="0" applyFont="1" applyFill="1" applyBorder="1"/>
    <xf numFmtId="3" fontId="33" fillId="13" borderId="6" xfId="0" applyNumberFormat="1" applyFont="1" applyFill="1" applyBorder="1"/>
    <xf numFmtId="10" fontId="34" fillId="13" borderId="6" xfId="0" applyNumberFormat="1" applyFont="1" applyFill="1" applyBorder="1"/>
    <xf numFmtId="0" fontId="33" fillId="20" borderId="6" xfId="0" applyFont="1" applyFill="1" applyBorder="1"/>
    <xf numFmtId="3" fontId="33" fillId="20" borderId="6" xfId="0" applyNumberFormat="1" applyFont="1" applyFill="1" applyBorder="1"/>
    <xf numFmtId="10" fontId="34" fillId="20" borderId="6" xfId="0" applyNumberFormat="1" applyFont="1" applyFill="1" applyBorder="1"/>
    <xf numFmtId="0" fontId="33" fillId="21" borderId="8" xfId="0" applyFont="1" applyFill="1" applyBorder="1"/>
    <xf numFmtId="3" fontId="33" fillId="21" borderId="8" xfId="0" applyNumberFormat="1" applyFont="1" applyFill="1" applyBorder="1"/>
    <xf numFmtId="10" fontId="34" fillId="21" borderId="8" xfId="0" applyNumberFormat="1" applyFont="1" applyFill="1" applyBorder="1"/>
    <xf numFmtId="3" fontId="14" fillId="8" borderId="18" xfId="0" applyNumberFormat="1" applyFont="1" applyFill="1" applyBorder="1"/>
    <xf numFmtId="10" fontId="36" fillId="0" borderId="19" xfId="0" applyNumberFormat="1" applyFont="1" applyBorder="1"/>
    <xf numFmtId="0" fontId="27" fillId="0" borderId="0" xfId="0" applyFont="1"/>
    <xf numFmtId="0" fontId="4" fillId="0" borderId="6" xfId="0" applyFont="1" applyBorder="1" applyAlignment="1">
      <alignment horizontal="center" wrapText="1"/>
    </xf>
    <xf numFmtId="3" fontId="33" fillId="13" borderId="9" xfId="0" applyNumberFormat="1" applyFont="1" applyFill="1" applyBorder="1"/>
    <xf numFmtId="0" fontId="33" fillId="13" borderId="9" xfId="0" applyFont="1" applyFill="1" applyBorder="1"/>
    <xf numFmtId="3" fontId="33" fillId="20" borderId="9" xfId="0" applyNumberFormat="1" applyFont="1" applyFill="1" applyBorder="1"/>
    <xf numFmtId="0" fontId="33" fillId="20" borderId="9" xfId="0" applyFont="1" applyFill="1" applyBorder="1"/>
    <xf numFmtId="3" fontId="33" fillId="21" borderId="9" xfId="0" applyNumberFormat="1" applyFont="1" applyFill="1" applyBorder="1"/>
    <xf numFmtId="0" fontId="33" fillId="21" borderId="6" xfId="0" applyFont="1" applyFill="1" applyBorder="1"/>
    <xf numFmtId="0" fontId="4" fillId="8" borderId="9" xfId="0" applyFont="1" applyFill="1" applyBorder="1"/>
    <xf numFmtId="3" fontId="33" fillId="8" borderId="6" xfId="0" applyNumberFormat="1" applyFont="1" applyFill="1" applyBorder="1"/>
    <xf numFmtId="3" fontId="16" fillId="0" borderId="0" xfId="0" applyNumberFormat="1" applyFont="1"/>
    <xf numFmtId="0" fontId="4" fillId="10" borderId="9" xfId="0" applyFont="1" applyFill="1" applyBorder="1" applyAlignment="1">
      <alignment horizontal="center" wrapText="1"/>
    </xf>
    <xf numFmtId="0" fontId="33" fillId="18" borderId="6" xfId="0" applyFont="1" applyFill="1" applyBorder="1"/>
    <xf numFmtId="3" fontId="33" fillId="18" borderId="6" xfId="0" applyNumberFormat="1" applyFont="1" applyFill="1" applyBorder="1"/>
    <xf numFmtId="3" fontId="33" fillId="21" borderId="6" xfId="0" applyNumberFormat="1" applyFont="1" applyFill="1" applyBorder="1"/>
    <xf numFmtId="0" fontId="14" fillId="8" borderId="8" xfId="0" applyFont="1" applyFill="1" applyBorder="1"/>
    <xf numFmtId="3" fontId="4" fillId="8" borderId="8" xfId="0" applyNumberFormat="1" applyFont="1" applyFill="1" applyBorder="1"/>
    <xf numFmtId="0" fontId="14" fillId="8" borderId="6" xfId="0" applyFont="1" applyFill="1" applyBorder="1"/>
    <xf numFmtId="0" fontId="33" fillId="0" borderId="6" xfId="0" applyFont="1" applyBorder="1"/>
    <xf numFmtId="3" fontId="33" fillId="0" borderId="6" xfId="0" applyNumberFormat="1" applyFont="1" applyBorder="1"/>
    <xf numFmtId="0" fontId="36" fillId="8" borderId="6" xfId="0" applyFont="1" applyFill="1" applyBorder="1"/>
    <xf numFmtId="10" fontId="34" fillId="0" borderId="6" xfId="0" applyNumberFormat="1" applyFont="1" applyBorder="1"/>
    <xf numFmtId="3" fontId="4" fillId="8" borderId="6" xfId="0" applyNumberFormat="1" applyFont="1" applyFill="1" applyBorder="1"/>
    <xf numFmtId="0" fontId="40" fillId="0" borderId="0" xfId="0" applyFont="1"/>
    <xf numFmtId="0" fontId="41" fillId="0" borderId="0" xfId="0" applyFont="1"/>
    <xf numFmtId="0" fontId="42" fillId="0" borderId="0" xfId="0" applyFont="1" applyAlignment="1">
      <alignment wrapText="1"/>
    </xf>
    <xf numFmtId="3" fontId="42" fillId="0" borderId="0" xfId="0" applyNumberFormat="1" applyFont="1" applyAlignment="1">
      <alignment wrapText="1"/>
    </xf>
    <xf numFmtId="0" fontId="43" fillId="0" borderId="0" xfId="0" applyFont="1"/>
    <xf numFmtId="0" fontId="40" fillId="2" borderId="1" xfId="0" applyFont="1" applyFill="1" applyBorder="1"/>
    <xf numFmtId="0" fontId="43" fillId="2" borderId="1" xfId="0" applyFont="1" applyFill="1" applyBorder="1"/>
    <xf numFmtId="0" fontId="41" fillId="2" borderId="1" xfId="0" applyFont="1" applyFill="1" applyBorder="1"/>
    <xf numFmtId="0" fontId="19" fillId="2" borderId="1" xfId="0" applyFont="1" applyFill="1" applyBorder="1"/>
    <xf numFmtId="0" fontId="43" fillId="0" borderId="0" xfId="0" applyFont="1" applyAlignment="1">
      <alignment horizontal="left"/>
    </xf>
    <xf numFmtId="4" fontId="43" fillId="0" borderId="0" xfId="0" applyNumberFormat="1" applyFont="1" applyAlignment="1">
      <alignment horizontal="left"/>
    </xf>
    <xf numFmtId="0" fontId="44" fillId="0" borderId="0" xfId="0" applyFont="1"/>
    <xf numFmtId="0" fontId="9" fillId="0" borderId="6" xfId="0" applyFont="1" applyBorder="1" applyAlignment="1">
      <alignment wrapText="1"/>
    </xf>
    <xf numFmtId="0" fontId="4" fillId="0" borderId="0" xfId="0" applyFont="1"/>
    <xf numFmtId="0" fontId="7" fillId="0" borderId="4" xfId="0" applyFont="1" applyBorder="1" applyAlignment="1">
      <alignment horizontal="center" wrapText="1"/>
    </xf>
    <xf numFmtId="0" fontId="7" fillId="0" borderId="8" xfId="0" applyFont="1" applyBorder="1" applyAlignment="1">
      <alignment horizontal="center" wrapText="1"/>
    </xf>
    <xf numFmtId="0" fontId="9" fillId="8" borderId="11" xfId="0" applyFont="1" applyFill="1" applyBorder="1" applyAlignment="1">
      <alignment wrapText="1"/>
    </xf>
    <xf numFmtId="0" fontId="10" fillId="8" borderId="11" xfId="0" applyFont="1" applyFill="1" applyBorder="1" applyAlignment="1">
      <alignment wrapText="1"/>
    </xf>
    <xf numFmtId="0" fontId="9" fillId="8" borderId="11" xfId="0" applyFont="1" applyFill="1" applyBorder="1" applyAlignment="1">
      <alignment horizontal="center" wrapText="1"/>
    </xf>
    <xf numFmtId="0" fontId="9" fillId="8" borderId="11" xfId="0" applyFont="1" applyFill="1" applyBorder="1" applyAlignment="1">
      <alignment horizontal="left" wrapText="1"/>
    </xf>
    <xf numFmtId="0" fontId="9" fillId="3" borderId="11" xfId="0" applyFont="1" applyFill="1" applyBorder="1" applyAlignment="1">
      <alignment wrapText="1"/>
    </xf>
    <xf numFmtId="3" fontId="9" fillId="8" borderId="11" xfId="0" applyNumberFormat="1" applyFont="1" applyFill="1" applyBorder="1" applyAlignment="1">
      <alignment horizontal="right" wrapText="1"/>
    </xf>
    <xf numFmtId="0" fontId="9" fillId="8" borderId="11" xfId="0" applyFont="1" applyFill="1" applyBorder="1" applyAlignment="1">
      <alignment horizontal="right" wrapText="1"/>
    </xf>
    <xf numFmtId="2" fontId="9" fillId="8" borderId="11" xfId="0" applyNumberFormat="1" applyFont="1" applyFill="1" applyBorder="1" applyAlignment="1">
      <alignment horizontal="right" wrapText="1"/>
    </xf>
    <xf numFmtId="1" fontId="9" fillId="8" borderId="11" xfId="0" applyNumberFormat="1" applyFont="1" applyFill="1" applyBorder="1" applyAlignment="1">
      <alignment horizontal="right" wrapText="1"/>
    </xf>
    <xf numFmtId="3" fontId="9" fillId="4" borderId="11" xfId="0" applyNumberFormat="1" applyFont="1" applyFill="1" applyBorder="1" applyAlignment="1">
      <alignment horizontal="center" wrapText="1"/>
    </xf>
    <xf numFmtId="0" fontId="9" fillId="8" borderId="12" xfId="0" applyFont="1" applyFill="1" applyBorder="1" applyAlignment="1">
      <alignment wrapText="1"/>
    </xf>
    <xf numFmtId="0" fontId="9" fillId="0" borderId="8" xfId="0" applyFont="1" applyBorder="1" applyAlignment="1">
      <alignment wrapText="1"/>
    </xf>
    <xf numFmtId="0" fontId="9" fillId="8" borderId="10" xfId="0" applyFont="1" applyFill="1" applyBorder="1" applyAlignment="1">
      <alignment horizontal="left" wrapText="1"/>
    </xf>
    <xf numFmtId="0" fontId="11" fillId="8" borderId="11" xfId="0" applyFont="1" applyFill="1" applyBorder="1" applyAlignment="1">
      <alignment wrapText="1"/>
    </xf>
    <xf numFmtId="0" fontId="10" fillId="8" borderId="11" xfId="0" applyFont="1" applyFill="1" applyBorder="1" applyAlignment="1">
      <alignment horizontal="left" wrapText="1"/>
    </xf>
    <xf numFmtId="0" fontId="10" fillId="8" borderId="11" xfId="0" applyFont="1" applyFill="1" applyBorder="1" applyAlignment="1">
      <alignment horizontal="center" wrapText="1"/>
    </xf>
    <xf numFmtId="0" fontId="9" fillId="5" borderId="11" xfId="0" applyFont="1" applyFill="1" applyBorder="1" applyAlignment="1">
      <alignment horizontal="left" wrapText="1"/>
    </xf>
    <xf numFmtId="3" fontId="10" fillId="8" borderId="11" xfId="0" applyNumberFormat="1" applyFont="1" applyFill="1" applyBorder="1" applyAlignment="1">
      <alignment horizontal="right" wrapText="1"/>
    </xf>
    <xf numFmtId="3" fontId="10" fillId="8" borderId="11" xfId="0" applyNumberFormat="1" applyFont="1" applyFill="1" applyBorder="1" applyAlignment="1">
      <alignment horizontal="center" wrapText="1"/>
    </xf>
    <xf numFmtId="0" fontId="10" fillId="8" borderId="12" xfId="0" applyFont="1" applyFill="1" applyBorder="1" applyAlignment="1">
      <alignment horizontal="center" wrapText="1"/>
    </xf>
    <xf numFmtId="0" fontId="9" fillId="9" borderId="10" xfId="0" applyFont="1" applyFill="1" applyBorder="1" applyAlignment="1">
      <alignment wrapText="1"/>
    </xf>
    <xf numFmtId="3" fontId="9" fillId="5" borderId="11" xfId="0" applyNumberFormat="1" applyFont="1" applyFill="1" applyBorder="1" applyAlignment="1">
      <alignment horizontal="center" wrapText="1"/>
    </xf>
    <xf numFmtId="0" fontId="10" fillId="9" borderId="11" xfId="0" applyFont="1" applyFill="1" applyBorder="1" applyAlignment="1">
      <alignment wrapText="1"/>
    </xf>
    <xf numFmtId="0" fontId="9" fillId="8" borderId="14" xfId="0" applyFont="1" applyFill="1" applyBorder="1" applyAlignment="1">
      <alignment wrapText="1"/>
    </xf>
    <xf numFmtId="3" fontId="9" fillId="8" borderId="11" xfId="0" applyNumberFormat="1" applyFont="1" applyFill="1" applyBorder="1" applyAlignment="1">
      <alignment wrapText="1"/>
    </xf>
    <xf numFmtId="0" fontId="7" fillId="9" borderId="3" xfId="0" applyFont="1" applyFill="1" applyBorder="1" applyAlignment="1">
      <alignment horizontal="center" wrapText="1"/>
    </xf>
    <xf numFmtId="14" fontId="9" fillId="8" borderId="11" xfId="0" applyNumberFormat="1" applyFont="1" applyFill="1" applyBorder="1" applyAlignment="1">
      <alignment horizontal="right" wrapText="1"/>
    </xf>
    <xf numFmtId="0" fontId="9" fillId="8" borderId="11" xfId="0" applyFont="1" applyFill="1" applyBorder="1"/>
    <xf numFmtId="0" fontId="9" fillId="8" borderId="5" xfId="0" applyFont="1" applyFill="1" applyBorder="1" applyAlignment="1">
      <alignment wrapText="1"/>
    </xf>
    <xf numFmtId="0" fontId="9" fillId="0" borderId="4" xfId="0" applyFont="1" applyBorder="1" applyAlignment="1">
      <alignment wrapText="1"/>
    </xf>
    <xf numFmtId="4" fontId="9" fillId="8" borderId="11" xfId="0" applyNumberFormat="1" applyFont="1" applyFill="1" applyBorder="1"/>
    <xf numFmtId="0" fontId="7" fillId="8" borderId="3" xfId="0" applyFont="1" applyFill="1" applyBorder="1" applyAlignment="1">
      <alignment horizontal="center" wrapText="1"/>
    </xf>
    <xf numFmtId="3" fontId="10" fillId="5" borderId="11" xfId="0" applyNumberFormat="1" applyFont="1" applyFill="1" applyBorder="1" applyAlignment="1">
      <alignment horizontal="left" wrapText="1"/>
    </xf>
    <xf numFmtId="2" fontId="9" fillId="3" borderId="11" xfId="0" applyNumberFormat="1" applyFont="1" applyFill="1" applyBorder="1" applyAlignment="1">
      <alignment horizontal="right" wrapText="1"/>
    </xf>
    <xf numFmtId="0" fontId="4" fillId="10" borderId="2" xfId="0" applyFont="1" applyFill="1" applyBorder="1" applyAlignment="1">
      <alignment horizontal="center" wrapText="1"/>
    </xf>
    <xf numFmtId="0" fontId="33" fillId="18" borderId="11" xfId="0" applyFont="1" applyFill="1" applyBorder="1"/>
    <xf numFmtId="3" fontId="33" fillId="18" borderId="11" xfId="0" applyNumberFormat="1" applyFont="1" applyFill="1" applyBorder="1"/>
    <xf numFmtId="0" fontId="37" fillId="8" borderId="11" xfId="0" applyFont="1" applyFill="1" applyBorder="1"/>
    <xf numFmtId="10" fontId="33" fillId="18" borderId="11" xfId="0" applyNumberFormat="1" applyFont="1" applyFill="1" applyBorder="1"/>
    <xf numFmtId="0" fontId="33" fillId="21" borderId="14" xfId="0" applyFont="1" applyFill="1" applyBorder="1"/>
    <xf numFmtId="3" fontId="33" fillId="18" borderId="12" xfId="0" applyNumberFormat="1" applyFont="1" applyFill="1" applyBorder="1"/>
    <xf numFmtId="3" fontId="4" fillId="8" borderId="14" xfId="0" applyNumberFormat="1" applyFont="1" applyFill="1" applyBorder="1"/>
    <xf numFmtId="3" fontId="33" fillId="0" borderId="9" xfId="0" applyNumberFormat="1" applyFont="1" applyBorder="1"/>
    <xf numFmtId="10" fontId="34" fillId="0" borderId="9" xfId="0" applyNumberFormat="1" applyFont="1" applyBorder="1"/>
    <xf numFmtId="0" fontId="1" fillId="0" borderId="1" xfId="0" applyFont="1" applyBorder="1"/>
    <xf numFmtId="0" fontId="9" fillId="0" borderId="1" xfId="0" applyFont="1" applyBorder="1"/>
    <xf numFmtId="0" fontId="0" fillId="0" borderId="1" xfId="0" applyBorder="1"/>
    <xf numFmtId="49" fontId="9" fillId="9" borderId="6" xfId="0" applyNumberFormat="1" applyFont="1" applyFill="1" applyBorder="1" applyAlignment="1">
      <alignment horizontal="right" wrapText="1"/>
    </xf>
    <xf numFmtId="0" fontId="0" fillId="0" borderId="6" xfId="0" applyBorder="1"/>
    <xf numFmtId="0" fontId="9" fillId="3" borderId="3" xfId="0" applyFont="1" applyFill="1" applyBorder="1" applyAlignment="1">
      <alignment wrapText="1"/>
    </xf>
    <xf numFmtId="3" fontId="9" fillId="3" borderId="4" xfId="0" applyNumberFormat="1" applyFont="1" applyFill="1" applyBorder="1"/>
    <xf numFmtId="0" fontId="10" fillId="9" borderId="12" xfId="0" applyFont="1" applyFill="1" applyBorder="1" applyAlignment="1">
      <alignment wrapText="1"/>
    </xf>
    <xf numFmtId="0" fontId="9" fillId="8" borderId="24" xfId="0" applyFont="1" applyFill="1" applyBorder="1" applyAlignment="1">
      <alignment wrapText="1"/>
    </xf>
    <xf numFmtId="3" fontId="9" fillId="36" borderId="24" xfId="0" applyNumberFormat="1" applyFont="1" applyFill="1" applyBorder="1" applyAlignment="1">
      <alignment wrapText="1"/>
    </xf>
    <xf numFmtId="0" fontId="10" fillId="8" borderId="24" xfId="0" applyFont="1" applyFill="1" applyBorder="1" applyAlignment="1">
      <alignment wrapText="1"/>
    </xf>
    <xf numFmtId="0" fontId="10" fillId="3" borderId="24" xfId="0" applyFont="1" applyFill="1" applyBorder="1" applyAlignment="1">
      <alignment wrapText="1"/>
    </xf>
    <xf numFmtId="0" fontId="9" fillId="11" borderId="24" xfId="0" applyFont="1" applyFill="1" applyBorder="1" applyAlignment="1">
      <alignment wrapText="1"/>
    </xf>
    <xf numFmtId="0" fontId="9" fillId="8" borderId="24" xfId="0" applyFont="1" applyFill="1" applyBorder="1" applyAlignment="1">
      <alignment horizontal="center" wrapText="1"/>
    </xf>
    <xf numFmtId="2" fontId="9" fillId="28" borderId="24" xfId="0" applyNumberFormat="1" applyFont="1" applyFill="1" applyBorder="1" applyAlignment="1">
      <alignment wrapText="1"/>
    </xf>
    <xf numFmtId="3" fontId="9" fillId="4" borderId="24" xfId="0" applyNumberFormat="1" applyFont="1" applyFill="1" applyBorder="1"/>
    <xf numFmtId="4" fontId="9" fillId="8" borderId="24" xfId="0" applyNumberFormat="1" applyFont="1" applyFill="1" applyBorder="1"/>
    <xf numFmtId="0" fontId="9" fillId="8" borderId="24" xfId="0" applyFont="1" applyFill="1" applyBorder="1" applyAlignment="1">
      <alignment horizontal="right" wrapText="1"/>
    </xf>
    <xf numFmtId="0" fontId="9" fillId="8" borderId="24" xfId="0" applyFont="1" applyFill="1" applyBorder="1" applyAlignment="1">
      <alignment horizontal="left" wrapText="1"/>
    </xf>
    <xf numFmtId="3" fontId="9" fillId="8" borderId="24" xfId="0" applyNumberFormat="1" applyFont="1" applyFill="1" applyBorder="1" applyAlignment="1">
      <alignment wrapText="1"/>
    </xf>
    <xf numFmtId="0" fontId="1" fillId="42" borderId="0" xfId="0" applyFont="1" applyFill="1"/>
    <xf numFmtId="0" fontId="0" fillId="42" borderId="0" xfId="0" applyFill="1"/>
    <xf numFmtId="3" fontId="35" fillId="8" borderId="18" xfId="0" applyNumberFormat="1" applyFont="1" applyFill="1" applyBorder="1"/>
    <xf numFmtId="0" fontId="9" fillId="47" borderId="24" xfId="0" applyFont="1" applyFill="1" applyBorder="1" applyAlignment="1">
      <alignment wrapText="1"/>
    </xf>
    <xf numFmtId="0" fontId="9" fillId="33" borderId="24" xfId="0" applyFont="1" applyFill="1" applyBorder="1" applyAlignment="1">
      <alignment wrapText="1"/>
    </xf>
    <xf numFmtId="0" fontId="10" fillId="33" borderId="24" xfId="0" applyFont="1" applyFill="1" applyBorder="1" applyAlignment="1">
      <alignment wrapText="1"/>
    </xf>
    <xf numFmtId="14" fontId="9" fillId="51" borderId="24" xfId="0" applyNumberFormat="1" applyFont="1" applyFill="1" applyBorder="1" applyAlignment="1">
      <alignment horizontal="right" wrapText="1"/>
    </xf>
    <xf numFmtId="0" fontId="9" fillId="51" borderId="24" xfId="0" applyFont="1" applyFill="1" applyBorder="1" applyAlignment="1">
      <alignment wrapText="1"/>
    </xf>
    <xf numFmtId="0" fontId="9" fillId="52" borderId="24" xfId="0" applyFont="1" applyFill="1" applyBorder="1" applyAlignment="1">
      <alignment wrapText="1"/>
    </xf>
    <xf numFmtId="3" fontId="9" fillId="4" borderId="24" xfId="0" applyNumberFormat="1" applyFont="1" applyFill="1" applyBorder="1" applyAlignment="1">
      <alignment wrapText="1"/>
    </xf>
    <xf numFmtId="3" fontId="9" fillId="28" borderId="24" xfId="0" applyNumberFormat="1" applyFont="1" applyFill="1" applyBorder="1" applyAlignment="1">
      <alignment wrapText="1"/>
    </xf>
    <xf numFmtId="0" fontId="9" fillId="25" borderId="24" xfId="0" applyFont="1" applyFill="1" applyBorder="1" applyAlignment="1">
      <alignment wrapText="1"/>
    </xf>
    <xf numFmtId="0" fontId="9" fillId="25" borderId="24" xfId="0" applyFont="1" applyFill="1" applyBorder="1" applyAlignment="1">
      <alignment horizontal="right" wrapText="1"/>
    </xf>
    <xf numFmtId="0" fontId="10" fillId="25" borderId="24" xfId="0" applyFont="1" applyFill="1" applyBorder="1" applyAlignment="1">
      <alignment horizontal="left" wrapText="1"/>
    </xf>
    <xf numFmtId="0" fontId="10" fillId="25" borderId="24" xfId="0" applyFont="1" applyFill="1" applyBorder="1" applyAlignment="1">
      <alignment wrapText="1"/>
    </xf>
    <xf numFmtId="0" fontId="9" fillId="22" borderId="24" xfId="0" applyFont="1" applyFill="1" applyBorder="1" applyAlignment="1">
      <alignment wrapText="1"/>
    </xf>
    <xf numFmtId="0" fontId="9" fillId="5" borderId="24" xfId="0" applyFont="1" applyFill="1" applyBorder="1" applyAlignment="1">
      <alignment horizontal="left" wrapText="1"/>
    </xf>
    <xf numFmtId="1" fontId="9" fillId="5" borderId="24" xfId="0" applyNumberFormat="1" applyFont="1" applyFill="1" applyBorder="1" applyAlignment="1">
      <alignment horizontal="left" wrapText="1"/>
    </xf>
    <xf numFmtId="0" fontId="9" fillId="52" borderId="24" xfId="0" applyFont="1" applyFill="1" applyBorder="1" applyAlignment="1">
      <alignment horizontal="left" wrapText="1"/>
    </xf>
    <xf numFmtId="0" fontId="10" fillId="22" borderId="24" xfId="0" applyFont="1" applyFill="1" applyBorder="1"/>
    <xf numFmtId="0" fontId="9" fillId="26" borderId="24" xfId="0" applyFont="1" applyFill="1" applyBorder="1" applyAlignment="1">
      <alignment wrapText="1"/>
    </xf>
    <xf numFmtId="0" fontId="9" fillId="5" borderId="24" xfId="0" applyFont="1" applyFill="1" applyBorder="1" applyAlignment="1">
      <alignment wrapText="1"/>
    </xf>
    <xf numFmtId="3" fontId="9" fillId="5" borderId="24" xfId="0" applyNumberFormat="1" applyFont="1" applyFill="1" applyBorder="1" applyAlignment="1">
      <alignment horizontal="right" wrapText="1"/>
    </xf>
    <xf numFmtId="0" fontId="10" fillId="22" borderId="24" xfId="0" applyFont="1" applyFill="1" applyBorder="1" applyAlignment="1">
      <alignment horizontal="left" wrapText="1"/>
    </xf>
    <xf numFmtId="3" fontId="9" fillId="22" borderId="24" xfId="0" applyNumberFormat="1" applyFont="1" applyFill="1" applyBorder="1" applyAlignment="1">
      <alignment horizontal="right" wrapText="1"/>
    </xf>
    <xf numFmtId="0" fontId="10" fillId="22" borderId="24" xfId="0" applyFont="1" applyFill="1" applyBorder="1" applyAlignment="1">
      <alignment horizontal="center" wrapText="1"/>
    </xf>
    <xf numFmtId="0" fontId="9" fillId="22" borderId="24" xfId="0" applyFont="1" applyFill="1" applyBorder="1" applyAlignment="1">
      <alignment horizontal="right" wrapText="1"/>
    </xf>
    <xf numFmtId="3" fontId="9" fillId="4" borderId="24" xfId="0" applyNumberFormat="1" applyFont="1" applyFill="1" applyBorder="1" applyAlignment="1">
      <alignment horizontal="right" wrapText="1"/>
    </xf>
    <xf numFmtId="3" fontId="9" fillId="41" borderId="24" xfId="0" applyNumberFormat="1" applyFont="1" applyFill="1" applyBorder="1" applyAlignment="1">
      <alignment horizontal="right" wrapText="1"/>
    </xf>
    <xf numFmtId="0" fontId="10" fillId="5" borderId="24" xfId="0" applyFont="1" applyFill="1" applyBorder="1" applyAlignment="1">
      <alignment horizontal="left" wrapText="1"/>
    </xf>
    <xf numFmtId="3" fontId="9" fillId="22" borderId="24" xfId="0" applyNumberFormat="1" applyFont="1" applyFill="1" applyBorder="1" applyAlignment="1">
      <alignment horizontal="right"/>
    </xf>
    <xf numFmtId="3" fontId="9" fillId="3" borderId="24" xfId="0" applyNumberFormat="1" applyFont="1" applyFill="1" applyBorder="1" applyAlignment="1">
      <alignment horizontal="right"/>
    </xf>
    <xf numFmtId="3" fontId="9" fillId="4" borderId="24" xfId="0" applyNumberFormat="1" applyFont="1" applyFill="1" applyBorder="1" applyAlignment="1">
      <alignment horizontal="right"/>
    </xf>
    <xf numFmtId="0" fontId="10" fillId="52" borderId="24" xfId="0" applyFont="1" applyFill="1" applyBorder="1" applyAlignment="1">
      <alignment wrapText="1"/>
    </xf>
    <xf numFmtId="0" fontId="9" fillId="3" borderId="24" xfId="0" applyFont="1" applyFill="1" applyBorder="1" applyAlignment="1">
      <alignment horizontal="left" wrapText="1"/>
    </xf>
    <xf numFmtId="0" fontId="9" fillId="0" borderId="24" xfId="0" applyFont="1" applyBorder="1" applyAlignment="1">
      <alignment wrapText="1"/>
    </xf>
    <xf numFmtId="0" fontId="10" fillId="0" borderId="24" xfId="0" applyFont="1" applyBorder="1" applyAlignment="1">
      <alignment wrapText="1"/>
    </xf>
    <xf numFmtId="0" fontId="12" fillId="0" borderId="24" xfId="0" applyFont="1" applyBorder="1" applyAlignment="1">
      <alignment horizontal="left" wrapText="1"/>
    </xf>
    <xf numFmtId="3" fontId="12" fillId="0" borderId="24" xfId="0" applyNumberFormat="1" applyFont="1" applyBorder="1" applyAlignment="1">
      <alignment horizontal="center" wrapText="1"/>
    </xf>
    <xf numFmtId="0" fontId="10" fillId="8" borderId="24" xfId="0" applyFont="1" applyFill="1" applyBorder="1" applyAlignment="1">
      <alignment horizontal="center" wrapText="1"/>
    </xf>
    <xf numFmtId="1" fontId="10" fillId="8" borderId="24" xfId="0" applyNumberFormat="1" applyFont="1" applyFill="1" applyBorder="1" applyAlignment="1">
      <alignment horizontal="center" wrapText="1"/>
    </xf>
    <xf numFmtId="166" fontId="10" fillId="8" borderId="24" xfId="0" applyNumberFormat="1" applyFont="1" applyFill="1" applyBorder="1" applyAlignment="1">
      <alignment horizontal="center" wrapText="1"/>
    </xf>
    <xf numFmtId="3" fontId="9" fillId="41" borderId="24" xfId="0" applyNumberFormat="1" applyFont="1" applyFill="1" applyBorder="1" applyAlignment="1">
      <alignment horizontal="right"/>
    </xf>
    <xf numFmtId="0" fontId="50" fillId="0" borderId="24" xfId="0" applyFont="1" applyBorder="1"/>
    <xf numFmtId="0" fontId="9" fillId="59" borderId="24" xfId="0" applyFont="1" applyFill="1" applyBorder="1" applyAlignment="1">
      <alignment wrapText="1"/>
    </xf>
    <xf numFmtId="0" fontId="9" fillId="60" borderId="24" xfId="0" applyFont="1" applyFill="1" applyBorder="1" applyAlignment="1">
      <alignment wrapText="1"/>
    </xf>
    <xf numFmtId="0" fontId="9" fillId="34" borderId="24" xfId="0" applyFont="1" applyFill="1" applyBorder="1" applyAlignment="1">
      <alignment horizontal="left" wrapText="1"/>
    </xf>
    <xf numFmtId="3" fontId="9" fillId="49" borderId="24" xfId="0" applyNumberFormat="1" applyFont="1" applyFill="1" applyBorder="1" applyAlignment="1">
      <alignment wrapText="1"/>
    </xf>
    <xf numFmtId="3" fontId="10" fillId="3" borderId="24" xfId="0" applyNumberFormat="1" applyFont="1" applyFill="1" applyBorder="1" applyAlignment="1">
      <alignment wrapText="1"/>
    </xf>
    <xf numFmtId="0" fontId="9" fillId="3" borderId="24" xfId="0" applyFont="1" applyFill="1" applyBorder="1" applyAlignment="1">
      <alignment wrapText="1"/>
    </xf>
    <xf numFmtId="0" fontId="9" fillId="26" borderId="24" xfId="0" applyFont="1" applyFill="1" applyBorder="1"/>
    <xf numFmtId="0" fontId="24" fillId="0" borderId="0" xfId="0" applyFont="1"/>
    <xf numFmtId="0" fontId="26" fillId="0" borderId="1" xfId="0" applyFont="1" applyBorder="1"/>
    <xf numFmtId="3" fontId="9" fillId="51" borderId="24" xfId="0" applyNumberFormat="1" applyFont="1" applyFill="1" applyBorder="1" applyAlignment="1">
      <alignment horizontal="right" wrapText="1"/>
    </xf>
    <xf numFmtId="3" fontId="9" fillId="51" borderId="24" xfId="0" applyNumberFormat="1" applyFont="1" applyFill="1" applyBorder="1" applyAlignment="1">
      <alignment wrapText="1"/>
    </xf>
    <xf numFmtId="14" fontId="9" fillId="3" borderId="24" xfId="0" applyNumberFormat="1" applyFont="1" applyFill="1" applyBorder="1" applyAlignment="1">
      <alignment horizontal="right" wrapText="1"/>
    </xf>
    <xf numFmtId="3" fontId="9" fillId="11" borderId="24" xfId="0" applyNumberFormat="1" applyFont="1" applyFill="1" applyBorder="1" applyAlignment="1">
      <alignment wrapText="1"/>
    </xf>
    <xf numFmtId="0" fontId="9" fillId="0" borderId="24" xfId="0" applyFont="1" applyBorder="1"/>
    <xf numFmtId="0" fontId="9" fillId="12" borderId="24" xfId="0" applyFont="1" applyFill="1" applyBorder="1" applyAlignment="1">
      <alignment wrapText="1"/>
    </xf>
    <xf numFmtId="0" fontId="10" fillId="34" borderId="24" xfId="0" applyFont="1" applyFill="1" applyBorder="1" applyAlignment="1">
      <alignment wrapText="1"/>
    </xf>
    <xf numFmtId="3" fontId="9" fillId="3" borderId="24" xfId="0" applyNumberFormat="1" applyFont="1" applyFill="1" applyBorder="1"/>
    <xf numFmtId="0" fontId="9" fillId="22" borderId="24" xfId="0" applyFont="1" applyFill="1" applyBorder="1"/>
    <xf numFmtId="0" fontId="10" fillId="8" borderId="24" xfId="0" applyFont="1" applyFill="1" applyBorder="1"/>
    <xf numFmtId="3" fontId="9" fillId="3" borderId="24" xfId="0" applyNumberFormat="1" applyFont="1" applyFill="1" applyBorder="1" applyAlignment="1">
      <alignment wrapText="1"/>
    </xf>
    <xf numFmtId="0" fontId="9" fillId="3" borderId="24" xfId="0" applyFont="1" applyFill="1" applyBorder="1"/>
    <xf numFmtId="0" fontId="9" fillId="8" borderId="24" xfId="0" applyFont="1" applyFill="1" applyBorder="1"/>
    <xf numFmtId="0" fontId="0" fillId="0" borderId="24" xfId="0" applyBorder="1"/>
    <xf numFmtId="3" fontId="9" fillId="5" borderId="24" xfId="0" applyNumberFormat="1" applyFont="1" applyFill="1" applyBorder="1" applyAlignment="1">
      <alignment wrapText="1"/>
    </xf>
    <xf numFmtId="3" fontId="9" fillId="22" borderId="24" xfId="0" applyNumberFormat="1" applyFont="1" applyFill="1" applyBorder="1"/>
    <xf numFmtId="0" fontId="9" fillId="22" borderId="24" xfId="0" applyFont="1" applyFill="1" applyBorder="1" applyAlignment="1">
      <alignment horizontal="left"/>
    </xf>
    <xf numFmtId="3" fontId="9" fillId="22" borderId="24" xfId="0" applyNumberFormat="1" applyFont="1" applyFill="1" applyBorder="1" applyAlignment="1">
      <alignment wrapText="1"/>
    </xf>
    <xf numFmtId="3" fontId="9" fillId="28" borderId="24" xfId="0" applyNumberFormat="1" applyFont="1" applyFill="1" applyBorder="1"/>
    <xf numFmtId="0" fontId="9" fillId="8" borderId="24" xfId="0" applyFont="1" applyFill="1" applyBorder="1" applyAlignment="1">
      <alignment horizontal="center"/>
    </xf>
    <xf numFmtId="0" fontId="9" fillId="22" borderId="24" xfId="0" applyFont="1" applyFill="1" applyBorder="1" applyAlignment="1">
      <alignment horizontal="center" wrapText="1"/>
    </xf>
    <xf numFmtId="0" fontId="51" fillId="8" borderId="1" xfId="0" applyFont="1" applyFill="1" applyBorder="1" applyAlignment="1">
      <alignment wrapText="1"/>
    </xf>
    <xf numFmtId="3" fontId="38" fillId="8" borderId="1" xfId="0" applyNumberFormat="1" applyFont="1" applyFill="1" applyBorder="1"/>
    <xf numFmtId="0" fontId="30" fillId="0" borderId="0" xfId="0" applyFont="1" applyAlignment="1">
      <alignment horizontal="center"/>
    </xf>
    <xf numFmtId="0" fontId="10" fillId="26" borderId="24" xfId="0" applyFont="1" applyFill="1" applyBorder="1" applyAlignment="1">
      <alignment horizontal="left" wrapText="1"/>
    </xf>
    <xf numFmtId="0" fontId="9" fillId="26" borderId="24" xfId="0" applyFont="1" applyFill="1" applyBorder="1" applyAlignment="1">
      <alignment horizontal="left" wrapText="1"/>
    </xf>
    <xf numFmtId="0" fontId="9" fillId="5" borderId="24" xfId="0" applyFont="1" applyFill="1" applyBorder="1" applyAlignment="1">
      <alignment horizontal="right" wrapText="1"/>
    </xf>
    <xf numFmtId="0" fontId="10" fillId="5" borderId="24" xfId="0" applyFont="1" applyFill="1" applyBorder="1" applyAlignment="1">
      <alignment wrapText="1"/>
    </xf>
    <xf numFmtId="3" fontId="9" fillId="8" borderId="24" xfId="0" applyNumberFormat="1" applyFont="1" applyFill="1" applyBorder="1" applyAlignment="1">
      <alignment horizontal="center" wrapText="1"/>
    </xf>
    <xf numFmtId="3" fontId="9" fillId="8" borderId="24" xfId="0" applyNumberFormat="1" applyFont="1" applyFill="1" applyBorder="1" applyAlignment="1">
      <alignment horizontal="right" wrapText="1"/>
    </xf>
    <xf numFmtId="164" fontId="9" fillId="3" borderId="24" xfId="0" applyNumberFormat="1" applyFont="1" applyFill="1" applyBorder="1" applyAlignment="1">
      <alignment wrapText="1"/>
    </xf>
    <xf numFmtId="2" fontId="9" fillId="3" borderId="24" xfId="0" applyNumberFormat="1" applyFont="1" applyFill="1" applyBorder="1" applyAlignment="1">
      <alignment horizontal="right" wrapText="1"/>
    </xf>
    <xf numFmtId="41" fontId="9" fillId="36" borderId="24" xfId="0" applyNumberFormat="1" applyFont="1" applyFill="1" applyBorder="1" applyAlignment="1">
      <alignment wrapText="1"/>
    </xf>
    <xf numFmtId="3" fontId="9" fillId="4" borderId="24" xfId="0" applyNumberFormat="1" applyFont="1" applyFill="1" applyBorder="1" applyAlignment="1">
      <alignment horizontal="center" wrapText="1"/>
    </xf>
    <xf numFmtId="3" fontId="9" fillId="49" borderId="24" xfId="0" applyNumberFormat="1" applyFont="1" applyFill="1" applyBorder="1" applyAlignment="1">
      <alignment horizontal="center" wrapText="1"/>
    </xf>
    <xf numFmtId="2" fontId="9" fillId="3" borderId="24" xfId="0" applyNumberFormat="1" applyFont="1" applyFill="1" applyBorder="1" applyAlignment="1">
      <alignment horizontal="center" wrapText="1"/>
    </xf>
    <xf numFmtId="2" fontId="9" fillId="8" borderId="24" xfId="0" applyNumberFormat="1" applyFont="1" applyFill="1" applyBorder="1" applyAlignment="1">
      <alignment horizontal="right" wrapText="1"/>
    </xf>
    <xf numFmtId="164" fontId="9" fillId="26" borderId="24" xfId="0" applyNumberFormat="1" applyFont="1" applyFill="1" applyBorder="1" applyAlignment="1">
      <alignment wrapText="1"/>
    </xf>
    <xf numFmtId="2" fontId="9" fillId="25" borderId="24" xfId="0" applyNumberFormat="1" applyFont="1" applyFill="1" applyBorder="1" applyAlignment="1">
      <alignment horizontal="right" wrapText="1"/>
    </xf>
    <xf numFmtId="3" fontId="9" fillId="26" borderId="24" xfId="0" applyNumberFormat="1" applyFont="1" applyFill="1" applyBorder="1" applyAlignment="1">
      <alignment horizontal="center" wrapText="1"/>
    </xf>
    <xf numFmtId="2" fontId="9" fillId="22" borderId="24" xfId="0" applyNumberFormat="1" applyFont="1" applyFill="1" applyBorder="1" applyAlignment="1">
      <alignment horizontal="right" wrapText="1"/>
    </xf>
    <xf numFmtId="1" fontId="9" fillId="8" borderId="24" xfId="0" applyNumberFormat="1" applyFont="1" applyFill="1" applyBorder="1" applyAlignment="1">
      <alignment horizontal="right" wrapText="1"/>
    </xf>
    <xf numFmtId="17" fontId="9" fillId="8" borderId="24" xfId="0" applyNumberFormat="1" applyFont="1" applyFill="1" applyBorder="1" applyAlignment="1">
      <alignment wrapText="1"/>
    </xf>
    <xf numFmtId="3" fontId="9" fillId="3" borderId="24" xfId="0" applyNumberFormat="1" applyFont="1" applyFill="1" applyBorder="1" applyAlignment="1">
      <alignment horizontal="right" wrapText="1"/>
    </xf>
    <xf numFmtId="4" fontId="10" fillId="3" borderId="24" xfId="0" applyNumberFormat="1" applyFont="1" applyFill="1" applyBorder="1" applyAlignment="1">
      <alignment wrapText="1"/>
    </xf>
    <xf numFmtId="4" fontId="9" fillId="3" borderId="24" xfId="0" applyNumberFormat="1" applyFont="1" applyFill="1" applyBorder="1" applyAlignment="1">
      <alignment horizontal="center" wrapText="1"/>
    </xf>
    <xf numFmtId="0" fontId="9" fillId="3" borderId="24" xfId="0" applyFont="1" applyFill="1" applyBorder="1" applyAlignment="1">
      <alignment horizontal="right" wrapText="1"/>
    </xf>
    <xf numFmtId="3" fontId="9" fillId="5" borderId="24" xfId="0" applyNumberFormat="1" applyFont="1" applyFill="1" applyBorder="1" applyAlignment="1">
      <alignment horizontal="center" wrapText="1"/>
    </xf>
    <xf numFmtId="0" fontId="9" fillId="12" borderId="24" xfId="0" applyFont="1" applyFill="1" applyBorder="1" applyAlignment="1">
      <alignment horizontal="left" wrapText="1"/>
    </xf>
    <xf numFmtId="3" fontId="9" fillId="5" borderId="24" xfId="0" applyNumberFormat="1" applyFont="1" applyFill="1" applyBorder="1" applyAlignment="1">
      <alignment horizontal="left" wrapText="1"/>
    </xf>
    <xf numFmtId="3" fontId="9" fillId="3" borderId="24" xfId="0" applyNumberFormat="1" applyFont="1" applyFill="1" applyBorder="1" applyAlignment="1">
      <alignment horizontal="center" wrapText="1"/>
    </xf>
    <xf numFmtId="2" fontId="9" fillId="8" borderId="24" xfId="0" applyNumberFormat="1" applyFont="1" applyFill="1" applyBorder="1" applyAlignment="1">
      <alignment horizontal="center" wrapText="1"/>
    </xf>
    <xf numFmtId="1" fontId="9" fillId="3" borderId="24" xfId="0" applyNumberFormat="1" applyFont="1" applyFill="1" applyBorder="1" applyAlignment="1">
      <alignment horizontal="right" wrapText="1"/>
    </xf>
    <xf numFmtId="0" fontId="9" fillId="3" borderId="24" xfId="0" applyFont="1" applyFill="1" applyBorder="1" applyAlignment="1">
      <alignment horizontal="center" wrapText="1"/>
    </xf>
    <xf numFmtId="17" fontId="9" fillId="8" borderId="24" xfId="0" applyNumberFormat="1" applyFont="1" applyFill="1" applyBorder="1" applyAlignment="1">
      <alignment horizontal="right" wrapText="1"/>
    </xf>
    <xf numFmtId="4" fontId="9" fillId="4" borderId="24" xfId="0" applyNumberFormat="1" applyFont="1" applyFill="1" applyBorder="1" applyAlignment="1">
      <alignment wrapText="1"/>
    </xf>
    <xf numFmtId="0" fontId="10" fillId="8" borderId="24" xfId="0" applyFont="1" applyFill="1" applyBorder="1" applyAlignment="1">
      <alignment horizontal="left" wrapText="1"/>
    </xf>
    <xf numFmtId="17" fontId="10" fillId="8" borderId="24" xfId="0" applyNumberFormat="1" applyFont="1" applyFill="1" applyBorder="1" applyAlignment="1">
      <alignment horizontal="center" wrapText="1"/>
    </xf>
    <xf numFmtId="0" fontId="9" fillId="5" borderId="24" xfId="0" applyFont="1" applyFill="1" applyBorder="1" applyAlignment="1">
      <alignment horizontal="center" wrapText="1"/>
    </xf>
    <xf numFmtId="0" fontId="9" fillId="9" borderId="24" xfId="0" applyFont="1" applyFill="1" applyBorder="1" applyAlignment="1">
      <alignment wrapText="1"/>
    </xf>
    <xf numFmtId="0" fontId="9" fillId="9" borderId="24" xfId="0" applyFont="1" applyFill="1" applyBorder="1"/>
    <xf numFmtId="0" fontId="9" fillId="9" borderId="24" xfId="0" applyFont="1" applyFill="1" applyBorder="1" applyAlignment="1">
      <alignment horizontal="center"/>
    </xf>
    <xf numFmtId="0" fontId="9" fillId="8" borderId="24" xfId="0" applyFont="1" applyFill="1" applyBorder="1" applyAlignment="1">
      <alignment horizontal="left"/>
    </xf>
    <xf numFmtId="0" fontId="9" fillId="9" borderId="24" xfId="0" applyFont="1" applyFill="1" applyBorder="1" applyAlignment="1">
      <alignment horizontal="right"/>
    </xf>
    <xf numFmtId="17" fontId="9" fillId="3" borderId="24" xfId="0" applyNumberFormat="1" applyFont="1" applyFill="1" applyBorder="1" applyAlignment="1">
      <alignment wrapText="1"/>
    </xf>
    <xf numFmtId="4" fontId="9" fillId="8" borderId="24" xfId="0" applyNumberFormat="1" applyFont="1" applyFill="1" applyBorder="1" applyAlignment="1">
      <alignment horizontal="center" wrapText="1"/>
    </xf>
    <xf numFmtId="0" fontId="9" fillId="8" borderId="24" xfId="0" applyFont="1" applyFill="1" applyBorder="1" applyAlignment="1">
      <alignment horizontal="right"/>
    </xf>
    <xf numFmtId="17" fontId="9" fillId="22" borderId="24" xfId="0" applyNumberFormat="1" applyFont="1" applyFill="1" applyBorder="1" applyAlignment="1">
      <alignment wrapText="1"/>
    </xf>
    <xf numFmtId="0" fontId="9" fillId="22" borderId="24" xfId="0" applyFont="1" applyFill="1" applyBorder="1" applyAlignment="1">
      <alignment horizontal="left" wrapText="1"/>
    </xf>
    <xf numFmtId="3" fontId="9" fillId="22" borderId="24" xfId="0" applyNumberFormat="1" applyFont="1" applyFill="1" applyBorder="1" applyAlignment="1">
      <alignment horizontal="center" wrapText="1"/>
    </xf>
    <xf numFmtId="0" fontId="10" fillId="22" borderId="24" xfId="0" applyFont="1" applyFill="1" applyBorder="1" applyAlignment="1">
      <alignment wrapText="1"/>
    </xf>
    <xf numFmtId="43" fontId="9" fillId="4" borderId="24" xfId="0" applyNumberFormat="1" applyFont="1" applyFill="1" applyBorder="1" applyAlignment="1">
      <alignment wrapText="1"/>
    </xf>
    <xf numFmtId="0" fontId="9" fillId="0" borderId="24" xfId="0" applyFont="1" applyBorder="1" applyAlignment="1">
      <alignment horizontal="center"/>
    </xf>
    <xf numFmtId="49" fontId="9" fillId="5" borderId="24" xfId="0" applyNumberFormat="1" applyFont="1" applyFill="1" applyBorder="1" applyAlignment="1">
      <alignment wrapText="1"/>
    </xf>
    <xf numFmtId="0" fontId="10" fillId="3" borderId="24" xfId="0" applyFont="1" applyFill="1" applyBorder="1" applyAlignment="1">
      <alignment horizontal="left" wrapText="1"/>
    </xf>
    <xf numFmtId="0" fontId="10" fillId="3" borderId="24" xfId="0" applyFont="1" applyFill="1" applyBorder="1" applyAlignment="1">
      <alignment horizontal="center" wrapText="1"/>
    </xf>
    <xf numFmtId="0" fontId="9" fillId="43" borderId="24" xfId="0" applyFont="1" applyFill="1" applyBorder="1" applyAlignment="1">
      <alignment horizontal="left" wrapText="1"/>
    </xf>
    <xf numFmtId="14" fontId="9" fillId="8" borderId="24" xfId="0" applyNumberFormat="1" applyFont="1" applyFill="1" applyBorder="1" applyAlignment="1">
      <alignment horizontal="right" wrapText="1"/>
    </xf>
    <xf numFmtId="0" fontId="10" fillId="9" borderId="24" xfId="0" applyFont="1" applyFill="1" applyBorder="1" applyAlignment="1">
      <alignment wrapText="1"/>
    </xf>
    <xf numFmtId="0" fontId="9" fillId="9" borderId="24" xfId="0" applyFont="1" applyFill="1" applyBorder="1" applyAlignment="1">
      <alignment horizontal="center" wrapText="1"/>
    </xf>
    <xf numFmtId="14" fontId="9" fillId="9" borderId="24" xfId="0" applyNumberFormat="1" applyFont="1" applyFill="1" applyBorder="1" applyAlignment="1">
      <alignment horizontal="right" wrapText="1"/>
    </xf>
    <xf numFmtId="0" fontId="10" fillId="11" borderId="24" xfId="0" applyFont="1" applyFill="1" applyBorder="1" applyAlignment="1">
      <alignment wrapText="1"/>
    </xf>
    <xf numFmtId="0" fontId="9" fillId="9" borderId="24" xfId="0" applyFont="1" applyFill="1" applyBorder="1" applyAlignment="1">
      <alignment horizontal="left" wrapText="1"/>
    </xf>
    <xf numFmtId="3" fontId="9" fillId="12" borderId="24" xfId="0" applyNumberFormat="1" applyFont="1" applyFill="1" applyBorder="1" applyAlignment="1">
      <alignment wrapText="1"/>
    </xf>
    <xf numFmtId="4" fontId="9" fillId="4" borderId="24" xfId="0" applyNumberFormat="1" applyFont="1" applyFill="1" applyBorder="1"/>
    <xf numFmtId="4" fontId="9" fillId="28" borderId="24" xfId="0" applyNumberFormat="1" applyFont="1" applyFill="1" applyBorder="1" applyAlignment="1">
      <alignment wrapText="1"/>
    </xf>
    <xf numFmtId="0" fontId="9" fillId="56" borderId="24" xfId="0" applyFont="1" applyFill="1" applyBorder="1" applyAlignment="1">
      <alignment wrapText="1"/>
    </xf>
    <xf numFmtId="3" fontId="9" fillId="26" borderId="24" xfId="0" applyNumberFormat="1" applyFont="1" applyFill="1" applyBorder="1" applyAlignment="1">
      <alignment wrapText="1"/>
    </xf>
    <xf numFmtId="17" fontId="9" fillId="9" borderId="24" xfId="0" applyNumberFormat="1" applyFont="1" applyFill="1" applyBorder="1" applyAlignment="1">
      <alignment wrapText="1"/>
    </xf>
    <xf numFmtId="0" fontId="9" fillId="14" borderId="24" xfId="0" applyFont="1" applyFill="1" applyBorder="1" applyAlignment="1">
      <alignment wrapText="1"/>
    </xf>
    <xf numFmtId="3" fontId="9" fillId="26" borderId="24" xfId="0" applyNumberFormat="1" applyFont="1" applyFill="1" applyBorder="1" applyAlignment="1">
      <alignment horizontal="right" wrapText="1"/>
    </xf>
    <xf numFmtId="4" fontId="9" fillId="9" borderId="24" xfId="0" applyNumberFormat="1" applyFont="1" applyFill="1" applyBorder="1"/>
    <xf numFmtId="0" fontId="9" fillId="24" borderId="24" xfId="0" applyFont="1" applyFill="1" applyBorder="1" applyAlignment="1">
      <alignment wrapText="1"/>
    </xf>
    <xf numFmtId="0" fontId="9" fillId="23" borderId="24" xfId="0" applyFont="1" applyFill="1" applyBorder="1"/>
    <xf numFmtId="0" fontId="10" fillId="9" borderId="24" xfId="0" applyFont="1" applyFill="1" applyBorder="1"/>
    <xf numFmtId="17" fontId="9" fillId="9" borderId="24" xfId="0" applyNumberFormat="1" applyFont="1" applyFill="1" applyBorder="1"/>
    <xf numFmtId="4" fontId="9" fillId="11" borderId="24" xfId="0" applyNumberFormat="1" applyFont="1" applyFill="1" applyBorder="1"/>
    <xf numFmtId="0" fontId="9" fillId="15" borderId="24" xfId="0" applyFont="1" applyFill="1" applyBorder="1" applyAlignment="1">
      <alignment wrapText="1"/>
    </xf>
    <xf numFmtId="3" fontId="9" fillId="24" borderId="24" xfId="0" applyNumberFormat="1" applyFont="1" applyFill="1" applyBorder="1" applyAlignment="1">
      <alignment wrapText="1"/>
    </xf>
    <xf numFmtId="49" fontId="9" fillId="8" borderId="24" xfId="0" applyNumberFormat="1" applyFont="1" applyFill="1" applyBorder="1" applyAlignment="1">
      <alignment horizontal="right" wrapText="1"/>
    </xf>
    <xf numFmtId="167" fontId="9" fillId="8" borderId="24" xfId="0" applyNumberFormat="1" applyFont="1" applyFill="1" applyBorder="1" applyAlignment="1">
      <alignment horizontal="right" wrapText="1"/>
    </xf>
    <xf numFmtId="0" fontId="9" fillId="11" borderId="24" xfId="0" applyFont="1" applyFill="1" applyBorder="1" applyAlignment="1">
      <alignment horizontal="left" wrapText="1"/>
    </xf>
    <xf numFmtId="168" fontId="9" fillId="8" borderId="24" xfId="0" applyNumberFormat="1" applyFont="1" applyFill="1" applyBorder="1" applyAlignment="1">
      <alignment wrapText="1"/>
    </xf>
    <xf numFmtId="0" fontId="9" fillId="11" borderId="24" xfId="0" applyFont="1" applyFill="1" applyBorder="1"/>
    <xf numFmtId="164" fontId="9" fillId="28" borderId="24" xfId="0" applyNumberFormat="1" applyFont="1" applyFill="1" applyBorder="1" applyAlignment="1">
      <alignment wrapText="1"/>
    </xf>
    <xf numFmtId="169" fontId="9" fillId="3" borderId="24" xfId="0" applyNumberFormat="1" applyFont="1" applyFill="1" applyBorder="1" applyAlignment="1">
      <alignment wrapText="1"/>
    </xf>
    <xf numFmtId="4" fontId="9" fillId="3" borderId="24" xfId="0" applyNumberFormat="1" applyFont="1" applyFill="1" applyBorder="1"/>
    <xf numFmtId="0" fontId="9" fillId="8" borderId="24" xfId="0" applyFont="1" applyFill="1" applyBorder="1" applyAlignment="1">
      <alignment vertical="top" wrapText="1"/>
    </xf>
    <xf numFmtId="3" fontId="9" fillId="16" borderId="24" xfId="0" applyNumberFormat="1" applyFont="1" applyFill="1" applyBorder="1" applyAlignment="1">
      <alignment wrapText="1"/>
    </xf>
    <xf numFmtId="0" fontId="9" fillId="8" borderId="24" xfId="0" applyFont="1" applyFill="1" applyBorder="1" applyAlignment="1">
      <alignment vertical="center" wrapText="1"/>
    </xf>
    <xf numFmtId="0" fontId="9" fillId="24" borderId="24" xfId="0" applyFont="1" applyFill="1" applyBorder="1"/>
    <xf numFmtId="0" fontId="9" fillId="5" borderId="24" xfId="0" applyFont="1" applyFill="1" applyBorder="1"/>
    <xf numFmtId="0" fontId="9" fillId="40" borderId="24" xfId="0" applyFont="1" applyFill="1" applyBorder="1" applyAlignment="1">
      <alignment wrapText="1"/>
    </xf>
    <xf numFmtId="3" fontId="9" fillId="28" borderId="24" xfId="0" applyNumberFormat="1" applyFont="1" applyFill="1" applyBorder="1" applyAlignment="1">
      <alignment horizontal="right" wrapText="1"/>
    </xf>
    <xf numFmtId="43" fontId="9" fillId="28" borderId="24" xfId="0" applyNumberFormat="1" applyFont="1" applyFill="1" applyBorder="1" applyAlignment="1">
      <alignment horizontal="right" wrapText="1"/>
    </xf>
    <xf numFmtId="0" fontId="10" fillId="0" borderId="24" xfId="0" applyFont="1" applyBorder="1"/>
    <xf numFmtId="2" fontId="9" fillId="28" borderId="24" xfId="0" applyNumberFormat="1" applyFont="1" applyFill="1" applyBorder="1" applyAlignment="1">
      <alignment horizontal="right" wrapText="1"/>
    </xf>
    <xf numFmtId="164" fontId="9" fillId="8" borderId="24" xfId="0" applyNumberFormat="1" applyFont="1" applyFill="1" applyBorder="1" applyAlignment="1">
      <alignment horizontal="right" wrapText="1"/>
    </xf>
    <xf numFmtId="49" fontId="9" fillId="26" borderId="24" xfId="0" applyNumberFormat="1" applyFont="1" applyFill="1" applyBorder="1" applyAlignment="1">
      <alignment horizontal="right" wrapText="1"/>
    </xf>
    <xf numFmtId="4" fontId="9" fillId="28" borderId="24" xfId="0" applyNumberFormat="1" applyFont="1" applyFill="1" applyBorder="1"/>
    <xf numFmtId="3" fontId="9" fillId="23" borderId="24" xfId="0" applyNumberFormat="1" applyFont="1" applyFill="1" applyBorder="1" applyAlignment="1">
      <alignment horizontal="right" wrapText="1"/>
    </xf>
    <xf numFmtId="43" fontId="9" fillId="22" borderId="24" xfId="0" applyNumberFormat="1" applyFont="1" applyFill="1" applyBorder="1" applyAlignment="1">
      <alignment horizontal="right" wrapText="1"/>
    </xf>
    <xf numFmtId="4" fontId="9" fillId="39" borderId="24" xfId="0" applyNumberFormat="1" applyFont="1" applyFill="1" applyBorder="1" applyAlignment="1">
      <alignment wrapText="1"/>
    </xf>
    <xf numFmtId="0" fontId="10" fillId="37" borderId="24" xfId="0" applyFont="1" applyFill="1" applyBorder="1" applyAlignment="1">
      <alignment wrapText="1"/>
    </xf>
    <xf numFmtId="3" fontId="9" fillId="11" borderId="24" xfId="0" applyNumberFormat="1" applyFont="1" applyFill="1" applyBorder="1"/>
    <xf numFmtId="3" fontId="10" fillId="8" borderId="24" xfId="0" applyNumberFormat="1" applyFont="1" applyFill="1" applyBorder="1" applyAlignment="1">
      <alignment wrapText="1"/>
    </xf>
    <xf numFmtId="165" fontId="9" fillId="22" borderId="24" xfId="0" applyNumberFormat="1" applyFont="1" applyFill="1" applyBorder="1"/>
    <xf numFmtId="17" fontId="9" fillId="8" borderId="24" xfId="0" applyNumberFormat="1" applyFont="1" applyFill="1" applyBorder="1"/>
    <xf numFmtId="173" fontId="9" fillId="22" borderId="24" xfId="0" applyNumberFormat="1" applyFont="1" applyFill="1" applyBorder="1" applyAlignment="1">
      <alignment horizontal="right" wrapText="1"/>
    </xf>
    <xf numFmtId="3" fontId="9" fillId="8" borderId="24" xfId="0" applyNumberFormat="1" applyFont="1" applyFill="1" applyBorder="1"/>
    <xf numFmtId="3" fontId="10" fillId="5" borderId="24" xfId="0" applyNumberFormat="1" applyFont="1" applyFill="1" applyBorder="1" applyAlignment="1">
      <alignment horizontal="left" wrapText="1"/>
    </xf>
    <xf numFmtId="171" fontId="9" fillId="4" borderId="24" xfId="0" applyNumberFormat="1" applyFont="1" applyFill="1" applyBorder="1" applyAlignment="1">
      <alignment wrapText="1"/>
    </xf>
    <xf numFmtId="0" fontId="9" fillId="9" borderId="24" xfId="0" applyFont="1" applyFill="1" applyBorder="1" applyAlignment="1">
      <alignment horizontal="right" wrapText="1"/>
    </xf>
    <xf numFmtId="3" fontId="9" fillId="9" borderId="24" xfId="0" applyNumberFormat="1" applyFont="1" applyFill="1" applyBorder="1" applyAlignment="1">
      <alignment wrapText="1"/>
    </xf>
    <xf numFmtId="172" fontId="9" fillId="8" borderId="24" xfId="0" applyNumberFormat="1" applyFont="1" applyFill="1" applyBorder="1" applyAlignment="1">
      <alignment horizontal="right" wrapText="1"/>
    </xf>
    <xf numFmtId="164" fontId="9" fillId="14" borderId="24" xfId="0" applyNumberFormat="1" applyFont="1" applyFill="1" applyBorder="1" applyAlignment="1">
      <alignment wrapText="1"/>
    </xf>
    <xf numFmtId="3" fontId="10" fillId="8" borderId="24" xfId="0" applyNumberFormat="1" applyFont="1" applyFill="1" applyBorder="1" applyAlignment="1">
      <alignment horizontal="left" wrapText="1"/>
    </xf>
    <xf numFmtId="3" fontId="9" fillId="11" borderId="24" xfId="0" applyNumberFormat="1" applyFont="1" applyFill="1" applyBorder="1" applyAlignment="1">
      <alignment horizontal="left" wrapText="1"/>
    </xf>
    <xf numFmtId="3" fontId="9" fillId="11" borderId="24" xfId="0" applyNumberFormat="1" applyFont="1" applyFill="1" applyBorder="1" applyAlignment="1">
      <alignment horizontal="right" wrapText="1"/>
    </xf>
    <xf numFmtId="3" fontId="9" fillId="31" borderId="24" xfId="0" applyNumberFormat="1" applyFont="1" applyFill="1" applyBorder="1" applyAlignment="1">
      <alignment wrapText="1"/>
    </xf>
    <xf numFmtId="2" fontId="9" fillId="16" borderId="24" xfId="0" applyNumberFormat="1" applyFont="1" applyFill="1" applyBorder="1" applyAlignment="1">
      <alignment horizontal="right" wrapText="1"/>
    </xf>
    <xf numFmtId="170" fontId="9" fillId="8" borderId="24" xfId="0" applyNumberFormat="1" applyFont="1" applyFill="1" applyBorder="1" applyAlignment="1">
      <alignment wrapText="1"/>
    </xf>
    <xf numFmtId="0" fontId="10" fillId="3" borderId="24" xfId="0" applyFont="1" applyFill="1" applyBorder="1"/>
    <xf numFmtId="4" fontId="9" fillId="8" borderId="24" xfId="0" applyNumberFormat="1" applyFont="1" applyFill="1" applyBorder="1" applyAlignment="1">
      <alignment horizontal="right" wrapText="1"/>
    </xf>
    <xf numFmtId="49" fontId="9" fillId="8" borderId="24" xfId="0" applyNumberFormat="1" applyFont="1" applyFill="1" applyBorder="1" applyAlignment="1">
      <alignment wrapText="1"/>
    </xf>
    <xf numFmtId="3" fontId="9" fillId="9" borderId="24" xfId="0" applyNumberFormat="1" applyFont="1" applyFill="1" applyBorder="1" applyAlignment="1">
      <alignment horizontal="center" wrapText="1"/>
    </xf>
    <xf numFmtId="4" fontId="9" fillId="34" borderId="24" xfId="0" applyNumberFormat="1" applyFont="1" applyFill="1" applyBorder="1"/>
    <xf numFmtId="0" fontId="9" fillId="34" borderId="24" xfId="0" applyFont="1" applyFill="1" applyBorder="1"/>
    <xf numFmtId="0" fontId="9" fillId="14" borderId="24" xfId="0" applyFont="1" applyFill="1" applyBorder="1"/>
    <xf numFmtId="0" fontId="9" fillId="36" borderId="24" xfId="0" applyFont="1" applyFill="1" applyBorder="1" applyAlignment="1">
      <alignment wrapText="1"/>
    </xf>
    <xf numFmtId="0" fontId="9" fillId="4" borderId="24" xfId="0" applyFont="1" applyFill="1" applyBorder="1" applyAlignment="1">
      <alignment wrapText="1"/>
    </xf>
    <xf numFmtId="3" fontId="9" fillId="14" borderId="24" xfId="0" applyNumberFormat="1" applyFont="1" applyFill="1" applyBorder="1" applyAlignment="1">
      <alignment wrapText="1"/>
    </xf>
    <xf numFmtId="49" fontId="9" fillId="26" borderId="24" xfId="0" applyNumberFormat="1" applyFont="1" applyFill="1" applyBorder="1" applyAlignment="1">
      <alignment wrapText="1"/>
    </xf>
    <xf numFmtId="165" fontId="9" fillId="28" borderId="24" xfId="0" applyNumberFormat="1" applyFont="1" applyFill="1" applyBorder="1" applyAlignment="1">
      <alignment wrapText="1"/>
    </xf>
    <xf numFmtId="3" fontId="9" fillId="26" borderId="24" xfId="0" applyNumberFormat="1" applyFont="1" applyFill="1" applyBorder="1"/>
    <xf numFmtId="4" fontId="9" fillId="26" borderId="24" xfId="0" applyNumberFormat="1" applyFont="1" applyFill="1" applyBorder="1"/>
    <xf numFmtId="3" fontId="9" fillId="5" borderId="24" xfId="0" applyNumberFormat="1" applyFont="1" applyFill="1" applyBorder="1"/>
    <xf numFmtId="0" fontId="9" fillId="53" borderId="24" xfId="0" applyFont="1" applyFill="1" applyBorder="1" applyAlignment="1">
      <alignment wrapText="1"/>
    </xf>
    <xf numFmtId="17" fontId="9" fillId="26" borderId="24" xfId="0" applyNumberFormat="1" applyFont="1" applyFill="1" applyBorder="1" applyAlignment="1">
      <alignment wrapText="1"/>
    </xf>
    <xf numFmtId="3" fontId="10" fillId="24" borderId="24" xfId="0" applyNumberFormat="1" applyFont="1" applyFill="1" applyBorder="1" applyAlignment="1">
      <alignment wrapText="1"/>
    </xf>
    <xf numFmtId="49" fontId="9" fillId="24" borderId="24" xfId="0" applyNumberFormat="1" applyFont="1" applyFill="1" applyBorder="1" applyAlignment="1">
      <alignment horizontal="right" wrapText="1"/>
    </xf>
    <xf numFmtId="4" fontId="9" fillId="2" borderId="24" xfId="0" applyNumberFormat="1" applyFont="1" applyFill="1" applyBorder="1"/>
    <xf numFmtId="4" fontId="9" fillId="22" borderId="24" xfId="0" applyNumberFormat="1" applyFont="1" applyFill="1" applyBorder="1"/>
    <xf numFmtId="3" fontId="9" fillId="49" borderId="24" xfId="0" applyNumberFormat="1" applyFont="1" applyFill="1" applyBorder="1" applyAlignment="1">
      <alignment horizontal="right" wrapText="1"/>
    </xf>
    <xf numFmtId="3" fontId="9" fillId="6" borderId="24" xfId="0" applyNumberFormat="1" applyFont="1" applyFill="1" applyBorder="1" applyAlignment="1">
      <alignment horizontal="right" wrapText="1"/>
    </xf>
    <xf numFmtId="49" fontId="9" fillId="22" borderId="24" xfId="0" applyNumberFormat="1" applyFont="1" applyFill="1" applyBorder="1" applyAlignment="1">
      <alignment horizontal="right" wrapText="1"/>
    </xf>
    <xf numFmtId="4" fontId="9" fillId="36" borderId="24" xfId="0" applyNumberFormat="1" applyFont="1" applyFill="1" applyBorder="1" applyAlignment="1">
      <alignment wrapText="1"/>
    </xf>
    <xf numFmtId="0" fontId="9" fillId="14" borderId="24" xfId="0" applyFont="1" applyFill="1" applyBorder="1" applyAlignment="1">
      <alignment horizontal="right" wrapText="1"/>
    </xf>
    <xf numFmtId="0" fontId="12" fillId="8" borderId="24" xfId="0" applyFont="1" applyFill="1" applyBorder="1" applyAlignment="1">
      <alignment horizontal="left"/>
    </xf>
    <xf numFmtId="0" fontId="12" fillId="8" borderId="24" xfId="0" applyFont="1" applyFill="1" applyBorder="1" applyAlignment="1">
      <alignment horizontal="center"/>
    </xf>
    <xf numFmtId="0" fontId="1" fillId="8" borderId="24" xfId="0" applyFont="1" applyFill="1" applyBorder="1"/>
    <xf numFmtId="0" fontId="12" fillId="8" borderId="24" xfId="0" applyFont="1" applyFill="1" applyBorder="1" applyAlignment="1">
      <alignment horizontal="left" wrapText="1"/>
    </xf>
    <xf numFmtId="0" fontId="12" fillId="9" borderId="24" xfId="0" applyFont="1" applyFill="1" applyBorder="1" applyAlignment="1">
      <alignment horizontal="left" wrapText="1"/>
    </xf>
    <xf numFmtId="0" fontId="12" fillId="9" borderId="24" xfId="0" applyFont="1" applyFill="1" applyBorder="1" applyAlignment="1">
      <alignment horizontal="center"/>
    </xf>
    <xf numFmtId="49" fontId="9" fillId="9" borderId="24" xfId="0" applyNumberFormat="1" applyFont="1" applyFill="1" applyBorder="1" applyAlignment="1">
      <alignment wrapText="1"/>
    </xf>
    <xf numFmtId="4" fontId="9" fillId="9" borderId="24" xfId="0" applyNumberFormat="1" applyFont="1" applyFill="1" applyBorder="1" applyAlignment="1">
      <alignment horizontal="right" wrapText="1"/>
    </xf>
    <xf numFmtId="0" fontId="12" fillId="8" borderId="24" xfId="0" applyFont="1" applyFill="1" applyBorder="1" applyAlignment="1">
      <alignment horizontal="center" wrapText="1"/>
    </xf>
    <xf numFmtId="3" fontId="9" fillId="14" borderId="24" xfId="0" applyNumberFormat="1" applyFont="1" applyFill="1" applyBorder="1" applyAlignment="1">
      <alignment horizontal="right" wrapText="1"/>
    </xf>
    <xf numFmtId="165" fontId="9" fillId="8" borderId="24" xfId="0" applyNumberFormat="1" applyFont="1" applyFill="1" applyBorder="1" applyAlignment="1">
      <alignment wrapText="1"/>
    </xf>
    <xf numFmtId="0" fontId="9" fillId="23" borderId="24" xfId="0" applyFont="1" applyFill="1" applyBorder="1" applyAlignment="1">
      <alignment wrapText="1"/>
    </xf>
    <xf numFmtId="0" fontId="10" fillId="0" borderId="24" xfId="0" applyFont="1" applyBorder="1" applyAlignment="1">
      <alignment horizontal="left" wrapText="1"/>
    </xf>
    <xf numFmtId="0" fontId="9" fillId="0" borderId="24" xfId="0" applyFont="1" applyBorder="1" applyAlignment="1">
      <alignment horizontal="left" wrapText="1"/>
    </xf>
    <xf numFmtId="0" fontId="9" fillId="0" borderId="24" xfId="0" applyFont="1" applyBorder="1" applyAlignment="1">
      <alignment horizontal="right" wrapText="1"/>
    </xf>
    <xf numFmtId="0" fontId="10" fillId="0" borderId="24" xfId="0" applyFont="1" applyBorder="1" applyAlignment="1">
      <alignment horizontal="center" wrapText="1"/>
    </xf>
    <xf numFmtId="166" fontId="9" fillId="8" borderId="24" xfId="0" applyNumberFormat="1" applyFont="1" applyFill="1" applyBorder="1" applyAlignment="1">
      <alignment horizontal="center" wrapText="1"/>
    </xf>
    <xf numFmtId="1" fontId="10" fillId="8" borderId="24" xfId="0" applyNumberFormat="1" applyFont="1" applyFill="1" applyBorder="1" applyAlignment="1">
      <alignment horizontal="left" wrapText="1"/>
    </xf>
    <xf numFmtId="3" fontId="9" fillId="8" borderId="24" xfId="0" applyNumberFormat="1" applyFont="1" applyFill="1" applyBorder="1" applyAlignment="1">
      <alignment horizontal="left"/>
    </xf>
    <xf numFmtId="3" fontId="12" fillId="8" borderId="24" xfId="0" applyNumberFormat="1" applyFont="1" applyFill="1" applyBorder="1" applyAlignment="1">
      <alignment horizontal="center" wrapText="1"/>
    </xf>
    <xf numFmtId="0" fontId="12" fillId="8" borderId="24" xfId="0" applyFont="1" applyFill="1" applyBorder="1" applyAlignment="1">
      <alignment wrapText="1"/>
    </xf>
    <xf numFmtId="3" fontId="9" fillId="3" borderId="24" xfId="0" applyNumberFormat="1" applyFont="1" applyFill="1" applyBorder="1" applyAlignment="1">
      <alignment horizontal="left" wrapText="1"/>
    </xf>
    <xf numFmtId="14" fontId="9" fillId="9" borderId="24" xfId="0" applyNumberFormat="1" applyFont="1" applyFill="1" applyBorder="1" applyAlignment="1">
      <alignment wrapText="1"/>
    </xf>
    <xf numFmtId="0" fontId="9" fillId="0" borderId="24" xfId="0" applyFont="1" applyBorder="1" applyAlignment="1">
      <alignment horizontal="left"/>
    </xf>
    <xf numFmtId="49" fontId="9" fillId="5" borderId="24" xfId="0" applyNumberFormat="1" applyFont="1" applyFill="1" applyBorder="1" applyAlignment="1">
      <alignment horizontal="right" wrapText="1"/>
    </xf>
    <xf numFmtId="0" fontId="9" fillId="27" borderId="24" xfId="0" applyFont="1" applyFill="1" applyBorder="1" applyAlignment="1">
      <alignment wrapText="1"/>
    </xf>
    <xf numFmtId="0" fontId="12" fillId="0" borderId="24" xfId="0" applyFont="1" applyBorder="1" applyAlignment="1">
      <alignment horizontal="center" wrapText="1"/>
    </xf>
    <xf numFmtId="0" fontId="9" fillId="0" borderId="24" xfId="0" applyFont="1" applyBorder="1" applyAlignment="1">
      <alignment horizontal="center" wrapText="1"/>
    </xf>
    <xf numFmtId="165" fontId="9" fillId="0" borderId="24" xfId="0" applyNumberFormat="1" applyFont="1" applyBorder="1" applyAlignment="1">
      <alignment wrapText="1"/>
    </xf>
    <xf numFmtId="165" fontId="9" fillId="5" borderId="24" xfId="0" applyNumberFormat="1" applyFont="1" applyFill="1" applyBorder="1" applyAlignment="1">
      <alignment wrapText="1"/>
    </xf>
    <xf numFmtId="3" fontId="9" fillId="12" borderId="24" xfId="0" applyNumberFormat="1" applyFont="1" applyFill="1" applyBorder="1" applyAlignment="1">
      <alignment horizontal="right" wrapText="1"/>
    </xf>
    <xf numFmtId="3" fontId="9" fillId="11" borderId="24" xfId="0" applyNumberFormat="1" applyFont="1" applyFill="1" applyBorder="1" applyAlignment="1">
      <alignment horizontal="right"/>
    </xf>
    <xf numFmtId="4" fontId="9" fillId="3" borderId="24" xfId="0" applyNumberFormat="1" applyFont="1" applyFill="1" applyBorder="1" applyAlignment="1">
      <alignment horizontal="right"/>
    </xf>
    <xf numFmtId="3" fontId="9" fillId="17" borderId="24" xfId="0" applyNumberFormat="1" applyFont="1" applyFill="1" applyBorder="1" applyAlignment="1">
      <alignment wrapText="1"/>
    </xf>
    <xf numFmtId="17" fontId="9" fillId="22" borderId="24" xfId="0" applyNumberFormat="1" applyFont="1" applyFill="1" applyBorder="1" applyAlignment="1">
      <alignment horizontal="right" wrapText="1"/>
    </xf>
    <xf numFmtId="0" fontId="47" fillId="8" borderId="24" xfId="0" applyFont="1" applyFill="1" applyBorder="1" applyAlignment="1">
      <alignment wrapText="1"/>
    </xf>
    <xf numFmtId="3" fontId="9" fillId="4" borderId="24" xfId="0" applyNumberFormat="1" applyFont="1" applyFill="1" applyBorder="1" applyAlignment="1">
      <alignment horizontal="left"/>
    </xf>
    <xf numFmtId="17" fontId="9" fillId="0" borderId="24" xfId="0" applyNumberFormat="1" applyFont="1" applyBorder="1" applyAlignment="1">
      <alignment horizontal="right" wrapText="1"/>
    </xf>
    <xf numFmtId="3" fontId="9" fillId="0" borderId="24" xfId="0" applyNumberFormat="1" applyFont="1" applyBorder="1" applyAlignment="1">
      <alignment wrapText="1"/>
    </xf>
    <xf numFmtId="0" fontId="12" fillId="0" borderId="24" xfId="0" applyFont="1" applyBorder="1" applyAlignment="1">
      <alignment horizontal="left"/>
    </xf>
    <xf numFmtId="0" fontId="12" fillId="0" borderId="24" xfId="0" applyFont="1" applyBorder="1" applyAlignment="1">
      <alignment horizontal="center"/>
    </xf>
    <xf numFmtId="0" fontId="9" fillId="0" borderId="24" xfId="0" applyFont="1" applyBorder="1" applyAlignment="1">
      <alignment horizontal="right"/>
    </xf>
    <xf numFmtId="49" fontId="9" fillId="0" borderId="24" xfId="0" applyNumberFormat="1" applyFont="1" applyBorder="1"/>
    <xf numFmtId="3" fontId="9" fillId="5" borderId="24" xfId="0" applyNumberFormat="1" applyFont="1" applyFill="1" applyBorder="1" applyAlignment="1">
      <alignment horizontal="right"/>
    </xf>
    <xf numFmtId="166" fontId="10" fillId="8" borderId="24" xfId="0" applyNumberFormat="1" applyFont="1" applyFill="1" applyBorder="1" applyAlignment="1">
      <alignment horizontal="left" wrapText="1"/>
    </xf>
    <xf numFmtId="0" fontId="10" fillId="24" borderId="24" xfId="0" applyFont="1" applyFill="1" applyBorder="1" applyAlignment="1">
      <alignment horizontal="left" wrapText="1"/>
    </xf>
    <xf numFmtId="1" fontId="9" fillId="8" borderId="24" xfId="0" applyNumberFormat="1" applyFont="1" applyFill="1" applyBorder="1" applyAlignment="1">
      <alignment horizontal="left" wrapText="1"/>
    </xf>
    <xf numFmtId="0" fontId="9" fillId="53" borderId="24" xfId="0" applyFont="1" applyFill="1" applyBorder="1" applyAlignment="1">
      <alignment horizontal="left" wrapText="1"/>
    </xf>
    <xf numFmtId="0" fontId="9" fillId="12" borderId="24" xfId="0" applyFont="1" applyFill="1" applyBorder="1" applyAlignment="1">
      <alignment horizontal="right" wrapText="1"/>
    </xf>
    <xf numFmtId="49" fontId="9" fillId="3" borderId="24" xfId="0" applyNumberFormat="1" applyFont="1" applyFill="1" applyBorder="1" applyAlignment="1">
      <alignment wrapText="1"/>
    </xf>
    <xf numFmtId="3" fontId="9" fillId="4" borderId="24" xfId="0" applyNumberFormat="1" applyFont="1" applyFill="1" applyBorder="1" applyAlignment="1">
      <alignment horizontal="left" wrapText="1"/>
    </xf>
    <xf numFmtId="49" fontId="9" fillId="0" borderId="24" xfId="0" applyNumberFormat="1" applyFont="1" applyBorder="1" applyAlignment="1">
      <alignment horizontal="left" wrapText="1"/>
    </xf>
    <xf numFmtId="166" fontId="10" fillId="0" borderId="24" xfId="0" applyNumberFormat="1" applyFont="1" applyBorder="1" applyAlignment="1">
      <alignment horizontal="center" wrapText="1"/>
    </xf>
    <xf numFmtId="1" fontId="9" fillId="3" borderId="24" xfId="0" applyNumberFormat="1" applyFont="1" applyFill="1" applyBorder="1" applyAlignment="1">
      <alignment horizontal="left" wrapText="1"/>
    </xf>
    <xf numFmtId="0" fontId="10" fillId="23" borderId="24" xfId="0" applyFont="1" applyFill="1" applyBorder="1" applyAlignment="1">
      <alignment horizontal="left" wrapText="1"/>
    </xf>
    <xf numFmtId="0" fontId="20" fillId="23" borderId="24" xfId="0" applyFont="1" applyFill="1" applyBorder="1" applyAlignment="1">
      <alignment horizontal="left" wrapText="1"/>
    </xf>
    <xf numFmtId="0" fontId="9" fillId="23" borderId="24" xfId="0" applyFont="1" applyFill="1" applyBorder="1" applyAlignment="1">
      <alignment horizontal="left" wrapText="1"/>
    </xf>
    <xf numFmtId="1" fontId="10" fillId="23" borderId="24" xfId="0" applyNumberFormat="1" applyFont="1" applyFill="1" applyBorder="1" applyAlignment="1">
      <alignment horizontal="left" wrapText="1"/>
    </xf>
    <xf numFmtId="166" fontId="10" fillId="23" borderId="24" xfId="0" applyNumberFormat="1" applyFont="1" applyFill="1" applyBorder="1" applyAlignment="1">
      <alignment horizontal="left" wrapText="1"/>
    </xf>
    <xf numFmtId="0" fontId="12" fillId="23" borderId="24" xfId="0" applyFont="1" applyFill="1" applyBorder="1" applyAlignment="1">
      <alignment horizontal="left" wrapText="1"/>
    </xf>
    <xf numFmtId="0" fontId="20" fillId="22" borderId="24" xfId="0" applyFont="1" applyFill="1" applyBorder="1" applyAlignment="1">
      <alignment horizontal="left" wrapText="1"/>
    </xf>
    <xf numFmtId="166" fontId="20" fillId="23" borderId="24" xfId="0" applyNumberFormat="1" applyFont="1" applyFill="1" applyBorder="1" applyAlignment="1">
      <alignment horizontal="left" wrapText="1"/>
    </xf>
    <xf numFmtId="1" fontId="20" fillId="23" borderId="24" xfId="0" applyNumberFormat="1" applyFont="1" applyFill="1" applyBorder="1" applyAlignment="1">
      <alignment horizontal="left" wrapText="1"/>
    </xf>
    <xf numFmtId="0" fontId="11" fillId="8" borderId="24" xfId="0" applyFont="1" applyFill="1" applyBorder="1"/>
    <xf numFmtId="1" fontId="10" fillId="5" borderId="24" xfId="0" applyNumberFormat="1" applyFont="1" applyFill="1" applyBorder="1" applyAlignment="1">
      <alignment horizontal="left" wrapText="1"/>
    </xf>
    <xf numFmtId="3" fontId="9" fillId="52" borderId="24" xfId="0" applyNumberFormat="1" applyFont="1" applyFill="1" applyBorder="1" applyAlignment="1">
      <alignment horizontal="left" wrapText="1"/>
    </xf>
    <xf numFmtId="3" fontId="9" fillId="8" borderId="24" xfId="0" applyNumberFormat="1" applyFont="1" applyFill="1" applyBorder="1" applyAlignment="1">
      <alignment horizontal="left" wrapText="1"/>
    </xf>
    <xf numFmtId="0" fontId="10" fillId="26" borderId="24" xfId="0" applyFont="1" applyFill="1" applyBorder="1" applyAlignment="1">
      <alignment wrapText="1"/>
    </xf>
    <xf numFmtId="0" fontId="9" fillId="26" borderId="24" xfId="0" applyFont="1" applyFill="1" applyBorder="1" applyAlignment="1">
      <alignment horizontal="right"/>
    </xf>
    <xf numFmtId="3" fontId="10" fillId="5" borderId="24" xfId="0" applyNumberFormat="1" applyFont="1" applyFill="1" applyBorder="1" applyAlignment="1">
      <alignment wrapText="1"/>
    </xf>
    <xf numFmtId="0" fontId="12" fillId="26" borderId="24" xfId="0" applyFont="1" applyFill="1" applyBorder="1" applyAlignment="1">
      <alignment horizontal="left" wrapText="1"/>
    </xf>
    <xf numFmtId="0" fontId="20" fillId="26" borderId="24" xfId="0" applyFont="1" applyFill="1" applyBorder="1" applyAlignment="1">
      <alignment horizontal="left" wrapText="1"/>
    </xf>
    <xf numFmtId="166" fontId="9" fillId="22" borderId="24" xfId="0" applyNumberFormat="1" applyFont="1" applyFill="1" applyBorder="1" applyAlignment="1">
      <alignment horizontal="left" wrapText="1"/>
    </xf>
    <xf numFmtId="166" fontId="21" fillId="22" borderId="24" xfId="0" applyNumberFormat="1" applyFont="1" applyFill="1" applyBorder="1" applyAlignment="1">
      <alignment horizontal="left" wrapText="1"/>
    </xf>
    <xf numFmtId="3" fontId="21" fillId="22" borderId="24" xfId="0" applyNumberFormat="1" applyFont="1" applyFill="1" applyBorder="1" applyAlignment="1">
      <alignment horizontal="left" wrapText="1"/>
    </xf>
    <xf numFmtId="0" fontId="12" fillId="22" borderId="24" xfId="0" applyFont="1" applyFill="1" applyBorder="1" applyAlignment="1">
      <alignment horizontal="left" wrapText="1"/>
    </xf>
    <xf numFmtId="3" fontId="12" fillId="4" borderId="24" xfId="0" applyNumberFormat="1" applyFont="1" applyFill="1" applyBorder="1" applyAlignment="1">
      <alignment horizontal="left" wrapText="1"/>
    </xf>
    <xf numFmtId="166" fontId="12" fillId="8" borderId="24" xfId="0" applyNumberFormat="1" applyFont="1" applyFill="1" applyBorder="1" applyAlignment="1">
      <alignment horizontal="left" wrapText="1"/>
    </xf>
    <xf numFmtId="1" fontId="12" fillId="8" borderId="24" xfId="0" applyNumberFormat="1" applyFont="1" applyFill="1" applyBorder="1" applyAlignment="1">
      <alignment horizontal="left" wrapText="1"/>
    </xf>
    <xf numFmtId="0" fontId="21" fillId="0" borderId="24" xfId="0" applyFont="1" applyBorder="1" applyAlignment="1">
      <alignment wrapText="1"/>
    </xf>
    <xf numFmtId="3" fontId="9" fillId="8" borderId="24" xfId="0" applyNumberFormat="1" applyFont="1" applyFill="1" applyBorder="1" applyAlignment="1">
      <alignment horizontal="right"/>
    </xf>
    <xf numFmtId="3" fontId="9" fillId="58" borderId="24" xfId="0" applyNumberFormat="1" applyFont="1" applyFill="1" applyBorder="1" applyAlignment="1">
      <alignment wrapText="1"/>
    </xf>
    <xf numFmtId="0" fontId="9" fillId="54" borderId="24" xfId="0" applyFont="1" applyFill="1" applyBorder="1" applyAlignment="1">
      <alignment wrapText="1"/>
    </xf>
    <xf numFmtId="0" fontId="9" fillId="31" borderId="24" xfId="0" applyFont="1" applyFill="1" applyBorder="1" applyAlignment="1">
      <alignment horizontal="right" wrapText="1"/>
    </xf>
    <xf numFmtId="3" fontId="9" fillId="28" borderId="24" xfId="0" applyNumberFormat="1" applyFont="1" applyFill="1" applyBorder="1" applyAlignment="1">
      <alignment horizontal="right"/>
    </xf>
    <xf numFmtId="0" fontId="10" fillId="31" borderId="24" xfId="0" applyFont="1" applyFill="1" applyBorder="1" applyAlignment="1">
      <alignment wrapText="1"/>
    </xf>
    <xf numFmtId="4" fontId="10" fillId="22" borderId="24" xfId="0" applyNumberFormat="1" applyFont="1" applyFill="1" applyBorder="1" applyAlignment="1">
      <alignment wrapText="1"/>
    </xf>
    <xf numFmtId="0" fontId="12" fillId="9" borderId="24" xfId="0" applyFont="1" applyFill="1" applyBorder="1" applyAlignment="1">
      <alignment horizontal="center" wrapText="1"/>
    </xf>
    <xf numFmtId="0" fontId="9" fillId="26" borderId="24" xfId="0" applyFont="1" applyFill="1" applyBorder="1" applyAlignment="1">
      <alignment horizontal="left"/>
    </xf>
    <xf numFmtId="1" fontId="9" fillId="8" borderId="24" xfId="0" applyNumberFormat="1" applyFont="1" applyFill="1" applyBorder="1" applyAlignment="1">
      <alignment wrapText="1"/>
    </xf>
    <xf numFmtId="0" fontId="10" fillId="32" borderId="24" xfId="0" applyFont="1" applyFill="1" applyBorder="1" applyAlignment="1">
      <alignment horizontal="left" wrapText="1"/>
    </xf>
    <xf numFmtId="3" fontId="9" fillId="0" borderId="24" xfId="0" applyNumberFormat="1" applyFont="1" applyBorder="1" applyAlignment="1">
      <alignment horizontal="center" wrapText="1"/>
    </xf>
    <xf numFmtId="15" fontId="9" fillId="0" borderId="24" xfId="0" applyNumberFormat="1" applyFont="1" applyBorder="1" applyAlignment="1">
      <alignment horizontal="left" wrapText="1"/>
    </xf>
    <xf numFmtId="164" fontId="9" fillId="0" borderId="24" xfId="0" applyNumberFormat="1" applyFont="1" applyBorder="1" applyAlignment="1">
      <alignment wrapText="1"/>
    </xf>
    <xf numFmtId="2" fontId="9" fillId="3" borderId="24" xfId="0" applyNumberFormat="1" applyFont="1" applyFill="1" applyBorder="1" applyAlignment="1">
      <alignment horizontal="left" wrapText="1"/>
    </xf>
    <xf numFmtId="2" fontId="10" fillId="3" borderId="24" xfId="0" applyNumberFormat="1" applyFont="1" applyFill="1" applyBorder="1" applyAlignment="1">
      <alignment horizontal="center" wrapText="1"/>
    </xf>
    <xf numFmtId="1" fontId="9" fillId="0" borderId="24" xfId="0" applyNumberFormat="1" applyFont="1" applyBorder="1" applyAlignment="1">
      <alignment horizontal="right" wrapText="1"/>
    </xf>
    <xf numFmtId="164" fontId="9" fillId="3" borderId="24" xfId="0" applyNumberFormat="1" applyFont="1" applyFill="1" applyBorder="1" applyAlignment="1">
      <alignment horizontal="left" wrapText="1"/>
    </xf>
    <xf numFmtId="164" fontId="9" fillId="6" borderId="24" xfId="0" applyNumberFormat="1" applyFont="1" applyFill="1" applyBorder="1" applyAlignment="1">
      <alignment horizontal="left" wrapText="1"/>
    </xf>
    <xf numFmtId="164" fontId="9" fillId="8" borderId="24" xfId="0" applyNumberFormat="1" applyFont="1" applyFill="1" applyBorder="1" applyAlignment="1">
      <alignment horizontal="left" wrapText="1"/>
    </xf>
    <xf numFmtId="170" fontId="9" fillId="3" borderId="24" xfId="0" applyNumberFormat="1" applyFont="1" applyFill="1" applyBorder="1" applyAlignment="1">
      <alignment horizontal="right" wrapText="1"/>
    </xf>
    <xf numFmtId="3" fontId="9" fillId="6" borderId="24" xfId="0" applyNumberFormat="1" applyFont="1" applyFill="1" applyBorder="1" applyAlignment="1">
      <alignment wrapText="1"/>
    </xf>
    <xf numFmtId="17" fontId="9" fillId="3" borderId="24" xfId="0" applyNumberFormat="1" applyFont="1" applyFill="1" applyBorder="1" applyAlignment="1">
      <alignment horizontal="right" wrapText="1"/>
    </xf>
    <xf numFmtId="164" fontId="9" fillId="5" borderId="24" xfId="0" applyNumberFormat="1" applyFont="1" applyFill="1" applyBorder="1" applyAlignment="1">
      <alignment wrapText="1"/>
    </xf>
    <xf numFmtId="0" fontId="9" fillId="35" borderId="24" xfId="0" applyFont="1" applyFill="1" applyBorder="1"/>
    <xf numFmtId="4" fontId="9" fillId="5" borderId="24" xfId="0" applyNumberFormat="1" applyFont="1" applyFill="1" applyBorder="1" applyAlignment="1">
      <alignment wrapText="1"/>
    </xf>
    <xf numFmtId="2" fontId="9" fillId="0" borderId="24" xfId="0" applyNumberFormat="1" applyFont="1" applyBorder="1" applyAlignment="1">
      <alignment wrapText="1"/>
    </xf>
    <xf numFmtId="2" fontId="10" fillId="0" borderId="24" xfId="0" applyNumberFormat="1" applyFont="1" applyBorder="1" applyAlignment="1">
      <alignment wrapText="1"/>
    </xf>
    <xf numFmtId="1" fontId="9" fillId="5" borderId="24" xfId="0" applyNumberFormat="1" applyFont="1" applyFill="1" applyBorder="1" applyAlignment="1">
      <alignment wrapText="1"/>
    </xf>
    <xf numFmtId="17" fontId="9" fillId="9" borderId="24" xfId="0" applyNumberFormat="1" applyFont="1" applyFill="1" applyBorder="1" applyAlignment="1">
      <alignment horizontal="right" wrapText="1"/>
    </xf>
    <xf numFmtId="170" fontId="9" fillId="8" borderId="24" xfId="0" applyNumberFormat="1" applyFont="1" applyFill="1" applyBorder="1" applyAlignment="1">
      <alignment horizontal="right" wrapText="1"/>
    </xf>
    <xf numFmtId="49" fontId="9" fillId="5" borderId="24" xfId="0" applyNumberFormat="1" applyFont="1" applyFill="1" applyBorder="1"/>
    <xf numFmtId="0" fontId="10" fillId="23" borderId="24" xfId="0" applyFont="1" applyFill="1" applyBorder="1" applyAlignment="1">
      <alignment wrapText="1"/>
    </xf>
    <xf numFmtId="0" fontId="10" fillId="9" borderId="24" xfId="0" applyFont="1" applyFill="1" applyBorder="1" applyAlignment="1">
      <alignment horizontal="left" wrapText="1"/>
    </xf>
    <xf numFmtId="2" fontId="9" fillId="9" borderId="24" xfId="0" applyNumberFormat="1" applyFont="1" applyFill="1" applyBorder="1" applyAlignment="1">
      <alignment horizontal="right" wrapText="1"/>
    </xf>
    <xf numFmtId="1" fontId="9" fillId="9" borderId="24" xfId="0" applyNumberFormat="1" applyFont="1" applyFill="1" applyBorder="1" applyAlignment="1">
      <alignment horizontal="left" wrapText="1"/>
    </xf>
    <xf numFmtId="1" fontId="9" fillId="9" borderId="24" xfId="0" applyNumberFormat="1" applyFont="1" applyFill="1" applyBorder="1" applyAlignment="1">
      <alignment horizontal="right" wrapText="1"/>
    </xf>
    <xf numFmtId="164" fontId="10" fillId="9" borderId="24" xfId="0" applyNumberFormat="1" applyFont="1" applyFill="1" applyBorder="1" applyAlignment="1">
      <alignment horizontal="left" wrapText="1"/>
    </xf>
    <xf numFmtId="0" fontId="10" fillId="44" borderId="24" xfId="0" applyFont="1" applyFill="1" applyBorder="1" applyAlignment="1">
      <alignment horizontal="left" wrapText="1"/>
    </xf>
    <xf numFmtId="2" fontId="9" fillId="44" borderId="24" xfId="0" applyNumberFormat="1" applyFont="1" applyFill="1" applyBorder="1" applyAlignment="1">
      <alignment horizontal="left" wrapText="1"/>
    </xf>
    <xf numFmtId="2" fontId="10" fillId="9" borderId="24" xfId="0" applyNumberFormat="1" applyFont="1" applyFill="1" applyBorder="1" applyAlignment="1">
      <alignment horizontal="center" wrapText="1"/>
    </xf>
    <xf numFmtId="1" fontId="9" fillId="5" borderId="24" xfId="0" applyNumberFormat="1" applyFont="1" applyFill="1" applyBorder="1" applyAlignment="1">
      <alignment horizontal="right" wrapText="1"/>
    </xf>
    <xf numFmtId="0" fontId="26" fillId="9" borderId="24" xfId="0" applyFont="1" applyFill="1" applyBorder="1"/>
    <xf numFmtId="0" fontId="26" fillId="9" borderId="24" xfId="0" applyFont="1" applyFill="1" applyBorder="1" applyAlignment="1">
      <alignment horizontal="center"/>
    </xf>
    <xf numFmtId="0" fontId="26" fillId="5" borderId="24" xfId="0" applyFont="1" applyFill="1" applyBorder="1" applyAlignment="1">
      <alignment wrapText="1"/>
    </xf>
    <xf numFmtId="15" fontId="10" fillId="9" borderId="24" xfId="0" applyNumberFormat="1" applyFont="1" applyFill="1" applyBorder="1" applyAlignment="1">
      <alignment horizontal="left" wrapText="1"/>
    </xf>
    <xf numFmtId="15" fontId="9" fillId="3" borderId="24" xfId="0" applyNumberFormat="1" applyFont="1" applyFill="1" applyBorder="1" applyAlignment="1">
      <alignment horizontal="left" wrapText="1"/>
    </xf>
    <xf numFmtId="3" fontId="10" fillId="3" borderId="24" xfId="0" applyNumberFormat="1" applyFont="1" applyFill="1" applyBorder="1" applyAlignment="1">
      <alignment horizontal="left" wrapText="1"/>
    </xf>
    <xf numFmtId="1" fontId="10" fillId="9" borderId="24" xfId="0" applyNumberFormat="1" applyFont="1" applyFill="1" applyBorder="1" applyAlignment="1">
      <alignment horizontal="center" wrapText="1"/>
    </xf>
    <xf numFmtId="0" fontId="4" fillId="0" borderId="9" xfId="0" applyFont="1" applyBorder="1" applyAlignment="1">
      <alignment horizontal="center" wrapText="1"/>
    </xf>
    <xf numFmtId="0" fontId="4" fillId="0" borderId="24" xfId="0" applyFont="1" applyBorder="1" applyAlignment="1">
      <alignment horizontal="center"/>
    </xf>
    <xf numFmtId="0" fontId="39" fillId="0" borderId="0" xfId="0" applyFont="1" applyAlignment="1">
      <alignment horizontal="left"/>
    </xf>
    <xf numFmtId="3" fontId="36" fillId="8" borderId="11" xfId="0" applyNumberFormat="1" applyFont="1" applyFill="1" applyBorder="1"/>
    <xf numFmtId="0" fontId="30" fillId="0" borderId="24" xfId="0" applyFont="1" applyBorder="1"/>
    <xf numFmtId="0" fontId="16" fillId="0" borderId="23" xfId="0" applyFont="1" applyBorder="1"/>
    <xf numFmtId="0" fontId="12" fillId="8" borderId="24" xfId="0" applyFont="1" applyFill="1" applyBorder="1"/>
    <xf numFmtId="0" fontId="54" fillId="10" borderId="6" xfId="0" applyFont="1" applyFill="1" applyBorder="1" applyAlignment="1">
      <alignment horizontal="center" wrapText="1"/>
    </xf>
    <xf numFmtId="0" fontId="9" fillId="42" borderId="24" xfId="0" applyFont="1" applyFill="1" applyBorder="1" applyAlignment="1">
      <alignment wrapText="1"/>
    </xf>
    <xf numFmtId="0" fontId="9" fillId="24" borderId="7" xfId="0" applyFont="1" applyFill="1" applyBorder="1" applyAlignment="1">
      <alignment wrapText="1"/>
    </xf>
    <xf numFmtId="0" fontId="10" fillId="34" borderId="24" xfId="0" applyFont="1" applyFill="1" applyBorder="1" applyAlignment="1">
      <alignment horizontal="left" wrapText="1"/>
    </xf>
    <xf numFmtId="0" fontId="9" fillId="53" borderId="24" xfId="0" applyFont="1" applyFill="1" applyBorder="1" applyAlignment="1">
      <alignment horizontal="right" wrapText="1"/>
    </xf>
    <xf numFmtId="3" fontId="12" fillId="32" borderId="24" xfId="0" applyNumberFormat="1" applyFont="1" applyFill="1" applyBorder="1" applyAlignment="1">
      <alignment wrapText="1"/>
    </xf>
    <xf numFmtId="0" fontId="9" fillId="34" borderId="24" xfId="0" applyFont="1" applyFill="1" applyBorder="1" applyAlignment="1">
      <alignment horizontal="right" wrapText="1"/>
    </xf>
    <xf numFmtId="0" fontId="29" fillId="0" borderId="1" xfId="2"/>
    <xf numFmtId="0" fontId="56" fillId="0" borderId="1" xfId="2" applyFont="1" applyAlignment="1">
      <alignment vertical="center"/>
    </xf>
    <xf numFmtId="0" fontId="56" fillId="0" borderId="1" xfId="2" applyFont="1" applyAlignment="1">
      <alignment horizontal="left" vertical="center" indent="1"/>
    </xf>
    <xf numFmtId="0" fontId="59" fillId="0" borderId="1" xfId="2" applyFont="1" applyAlignment="1">
      <alignment vertical="center"/>
    </xf>
    <xf numFmtId="0" fontId="29" fillId="0" borderId="1" xfId="2" applyAlignment="1">
      <alignment vertical="center"/>
    </xf>
    <xf numFmtId="0" fontId="59" fillId="0" borderId="1" xfId="2" applyFont="1" applyAlignment="1">
      <alignment horizontal="left" vertical="center" indent="1"/>
    </xf>
    <xf numFmtId="0" fontId="62" fillId="0" borderId="1" xfId="2" applyFont="1" applyAlignment="1">
      <alignment vertical="center"/>
    </xf>
    <xf numFmtId="0" fontId="63" fillId="0" borderId="0" xfId="0" applyFont="1" applyAlignment="1">
      <alignment horizontal="left" vertical="center" indent="1"/>
    </xf>
    <xf numFmtId="0" fontId="63" fillId="0" borderId="0" xfId="0" applyFont="1" applyAlignment="1">
      <alignment vertical="center"/>
    </xf>
    <xf numFmtId="0" fontId="60" fillId="0" borderId="1" xfId="2" applyFont="1" applyAlignment="1">
      <alignment horizontal="left" vertical="center" indent="1"/>
    </xf>
    <xf numFmtId="0" fontId="19" fillId="0" borderId="1" xfId="2" applyFont="1" applyAlignment="1">
      <alignment horizontal="left"/>
    </xf>
    <xf numFmtId="0" fontId="68" fillId="0" borderId="1" xfId="2" applyFont="1" applyAlignment="1">
      <alignment vertical="center"/>
    </xf>
    <xf numFmtId="0" fontId="67" fillId="0" borderId="1" xfId="2" applyFont="1" applyAlignment="1">
      <alignment vertical="center"/>
    </xf>
    <xf numFmtId="3" fontId="29" fillId="0" borderId="1" xfId="2" applyNumberFormat="1"/>
    <xf numFmtId="3" fontId="19" fillId="0" borderId="1" xfId="2" applyNumberFormat="1" applyFont="1"/>
    <xf numFmtId="0" fontId="67" fillId="0" borderId="0" xfId="0" applyFont="1" applyAlignment="1">
      <alignment vertical="center"/>
    </xf>
    <xf numFmtId="10" fontId="29" fillId="0" borderId="1" xfId="2" applyNumberFormat="1"/>
    <xf numFmtId="0" fontId="19" fillId="0" borderId="1" xfId="2" applyFont="1"/>
    <xf numFmtId="0" fontId="23" fillId="0" borderId="1" xfId="3" applyAlignment="1"/>
    <xf numFmtId="0" fontId="9" fillId="58" borderId="24" xfId="0" applyFont="1" applyFill="1" applyBorder="1" applyAlignment="1">
      <alignment wrapText="1"/>
    </xf>
    <xf numFmtId="0" fontId="10" fillId="42" borderId="24" xfId="0" applyFont="1" applyFill="1" applyBorder="1" applyAlignment="1">
      <alignment wrapText="1"/>
    </xf>
    <xf numFmtId="0" fontId="9" fillId="64" borderId="24" xfId="0" applyFont="1" applyFill="1" applyBorder="1" applyAlignment="1">
      <alignment wrapText="1"/>
    </xf>
    <xf numFmtId="3" fontId="9" fillId="65" borderId="24" xfId="0" applyNumberFormat="1" applyFont="1" applyFill="1" applyBorder="1"/>
    <xf numFmtId="0" fontId="9" fillId="42" borderId="24" xfId="0" applyFont="1" applyFill="1" applyBorder="1"/>
    <xf numFmtId="0" fontId="10" fillId="47" borderId="24" xfId="0" applyFont="1" applyFill="1" applyBorder="1" applyAlignment="1">
      <alignment wrapText="1"/>
    </xf>
    <xf numFmtId="3" fontId="9" fillId="47" borderId="24" xfId="0" applyNumberFormat="1" applyFont="1" applyFill="1" applyBorder="1" applyAlignment="1">
      <alignment wrapText="1"/>
    </xf>
    <xf numFmtId="0" fontId="9" fillId="47" borderId="24" xfId="0" applyFont="1" applyFill="1" applyBorder="1" applyAlignment="1">
      <alignment horizontal="center"/>
    </xf>
    <xf numFmtId="43" fontId="9" fillId="47" borderId="24" xfId="0" applyNumberFormat="1" applyFont="1" applyFill="1" applyBorder="1" applyAlignment="1">
      <alignment wrapText="1"/>
    </xf>
    <xf numFmtId="0" fontId="50" fillId="42" borderId="24" xfId="0" applyFont="1" applyFill="1" applyBorder="1" applyAlignment="1">
      <alignment wrapText="1"/>
    </xf>
    <xf numFmtId="0" fontId="9" fillId="42" borderId="24" xfId="0" applyFont="1" applyFill="1" applyBorder="1" applyAlignment="1">
      <alignment horizontal="center" wrapText="1"/>
    </xf>
    <xf numFmtId="0" fontId="9" fillId="42" borderId="24" xfId="0" applyFont="1" applyFill="1" applyBorder="1" applyAlignment="1">
      <alignment horizontal="right" wrapText="1"/>
    </xf>
    <xf numFmtId="3" fontId="9" fillId="42" borderId="24" xfId="0" applyNumberFormat="1" applyFont="1" applyFill="1" applyBorder="1" applyAlignment="1">
      <alignment wrapText="1"/>
    </xf>
    <xf numFmtId="3" fontId="9" fillId="42" borderId="24" xfId="0" applyNumberFormat="1" applyFont="1" applyFill="1" applyBorder="1" applyAlignment="1">
      <alignment horizontal="right" wrapText="1"/>
    </xf>
    <xf numFmtId="2" fontId="9" fillId="42" borderId="24" xfId="0" applyNumberFormat="1" applyFont="1" applyFill="1" applyBorder="1" applyAlignment="1">
      <alignment horizontal="right" wrapText="1"/>
    </xf>
    <xf numFmtId="0" fontId="9" fillId="56" borderId="24" xfId="0" applyFont="1" applyFill="1" applyBorder="1" applyAlignment="1">
      <alignment horizontal="left" wrapText="1"/>
    </xf>
    <xf numFmtId="4" fontId="9" fillId="42" borderId="24" xfId="0" applyNumberFormat="1" applyFont="1" applyFill="1" applyBorder="1"/>
    <xf numFmtId="0" fontId="12" fillId="42" borderId="24" xfId="0" applyFont="1" applyFill="1" applyBorder="1" applyAlignment="1">
      <alignment horizontal="left"/>
    </xf>
    <xf numFmtId="0" fontId="12" fillId="42" borderId="24" xfId="0" applyFont="1" applyFill="1" applyBorder="1" applyAlignment="1">
      <alignment horizontal="center"/>
    </xf>
    <xf numFmtId="0" fontId="9" fillId="42" borderId="24" xfId="0" applyFont="1" applyFill="1" applyBorder="1" applyAlignment="1">
      <alignment horizontal="center"/>
    </xf>
    <xf numFmtId="3" fontId="9" fillId="42" borderId="24" xfId="0" applyNumberFormat="1" applyFont="1" applyFill="1" applyBorder="1"/>
    <xf numFmtId="0" fontId="9" fillId="42" borderId="24" xfId="0" applyFont="1" applyFill="1" applyBorder="1" applyAlignment="1">
      <alignment horizontal="left"/>
    </xf>
    <xf numFmtId="0" fontId="12" fillId="0" borderId="24" xfId="0" applyFont="1" applyBorder="1" applyAlignment="1">
      <alignment wrapText="1"/>
    </xf>
    <xf numFmtId="1" fontId="9" fillId="0" borderId="24" xfId="0" applyNumberFormat="1" applyFont="1" applyBorder="1" applyAlignment="1">
      <alignment horizontal="left" wrapText="1"/>
    </xf>
    <xf numFmtId="0" fontId="20" fillId="0" borderId="24" xfId="0" applyFont="1" applyBorder="1" applyAlignment="1">
      <alignment horizontal="left" wrapText="1"/>
    </xf>
    <xf numFmtId="1" fontId="10" fillId="0" borderId="24" xfId="0" applyNumberFormat="1" applyFont="1" applyBorder="1" applyAlignment="1">
      <alignment horizontal="left" wrapText="1"/>
    </xf>
    <xf numFmtId="166" fontId="10" fillId="0" borderId="24" xfId="0" applyNumberFormat="1" applyFont="1" applyBorder="1" applyAlignment="1">
      <alignment horizontal="left" wrapText="1"/>
    </xf>
    <xf numFmtId="3" fontId="9" fillId="0" borderId="24" xfId="0" applyNumberFormat="1" applyFont="1" applyBorder="1" applyAlignment="1">
      <alignment horizontal="right" wrapText="1"/>
    </xf>
    <xf numFmtId="3" fontId="9" fillId="0" borderId="24" xfId="0" applyNumberFormat="1" applyFont="1" applyBorder="1" applyAlignment="1">
      <alignment horizontal="left" wrapText="1"/>
    </xf>
    <xf numFmtId="3" fontId="9" fillId="0" borderId="24" xfId="0" applyNumberFormat="1" applyFont="1" applyBorder="1" applyAlignment="1">
      <alignment horizontal="right"/>
    </xf>
    <xf numFmtId="0" fontId="10" fillId="42" borderId="24" xfId="0" applyFont="1" applyFill="1" applyBorder="1" applyAlignment="1">
      <alignment horizontal="left" wrapText="1"/>
    </xf>
    <xf numFmtId="0" fontId="9" fillId="66" borderId="24" xfId="0" applyFont="1" applyFill="1" applyBorder="1" applyAlignment="1">
      <alignment wrapText="1"/>
    </xf>
    <xf numFmtId="3" fontId="9" fillId="0" borderId="24" xfId="0" applyNumberFormat="1" applyFont="1" applyBorder="1"/>
    <xf numFmtId="0" fontId="20" fillId="0" borderId="24" xfId="0" applyFont="1" applyBorder="1" applyAlignment="1">
      <alignment wrapText="1"/>
    </xf>
    <xf numFmtId="1" fontId="12" fillId="0" borderId="24" xfId="0" applyNumberFormat="1" applyFont="1" applyBorder="1" applyAlignment="1">
      <alignment horizontal="left" wrapText="1"/>
    </xf>
    <xf numFmtId="3" fontId="12" fillId="0" borderId="24" xfId="0" applyNumberFormat="1" applyFont="1" applyBorder="1" applyAlignment="1">
      <alignment wrapText="1"/>
    </xf>
    <xf numFmtId="166" fontId="12" fillId="0" borderId="24" xfId="0" applyNumberFormat="1" applyFont="1" applyBorder="1" applyAlignment="1">
      <alignment horizontal="left" wrapText="1"/>
    </xf>
    <xf numFmtId="2" fontId="9" fillId="0" borderId="24" xfId="0" applyNumberFormat="1" applyFont="1" applyBorder="1" applyAlignment="1">
      <alignment horizontal="right" wrapText="1"/>
    </xf>
    <xf numFmtId="2" fontId="9" fillId="0" borderId="24" xfId="0" applyNumberFormat="1" applyFont="1" applyBorder="1" applyAlignment="1">
      <alignment horizontal="center" wrapText="1"/>
    </xf>
    <xf numFmtId="4" fontId="10" fillId="0" borderId="24" xfId="0" applyNumberFormat="1" applyFont="1" applyBorder="1" applyAlignment="1">
      <alignment wrapText="1"/>
    </xf>
    <xf numFmtId="4" fontId="9" fillId="0" borderId="24" xfId="0" applyNumberFormat="1" applyFont="1" applyBorder="1" applyAlignment="1">
      <alignment horizontal="center" wrapText="1"/>
    </xf>
    <xf numFmtId="0" fontId="7" fillId="0" borderId="24" xfId="0" applyFont="1" applyBorder="1" applyAlignment="1">
      <alignment horizontal="center" wrapText="1"/>
    </xf>
    <xf numFmtId="49" fontId="9" fillId="0" borderId="24" xfId="0" applyNumberFormat="1" applyFont="1" applyBorder="1" applyAlignment="1">
      <alignment wrapText="1"/>
    </xf>
    <xf numFmtId="43" fontId="9" fillId="0" borderId="24" xfId="0" applyNumberFormat="1" applyFont="1" applyBorder="1" applyAlignment="1">
      <alignment wrapText="1"/>
    </xf>
    <xf numFmtId="166" fontId="9" fillId="0" borderId="24" xfId="0" applyNumberFormat="1" applyFont="1" applyBorder="1" applyAlignment="1">
      <alignment horizontal="left" wrapText="1"/>
    </xf>
    <xf numFmtId="17" fontId="9" fillId="0" borderId="24" xfId="0" applyNumberFormat="1" applyFont="1" applyBorder="1" applyAlignment="1">
      <alignment wrapText="1"/>
    </xf>
    <xf numFmtId="168" fontId="9" fillId="0" borderId="24" xfId="0" applyNumberFormat="1" applyFont="1" applyBorder="1" applyAlignment="1">
      <alignment wrapText="1"/>
    </xf>
    <xf numFmtId="4" fontId="9" fillId="0" borderId="24" xfId="0" applyNumberFormat="1" applyFont="1" applyBorder="1"/>
    <xf numFmtId="14" fontId="9" fillId="0" borderId="24" xfId="0" applyNumberFormat="1" applyFont="1" applyBorder="1" applyAlignment="1">
      <alignment horizontal="right" wrapText="1"/>
    </xf>
    <xf numFmtId="3" fontId="9" fillId="41" borderId="24" xfId="0" applyNumberFormat="1" applyFont="1" applyFill="1" applyBorder="1" applyAlignment="1">
      <alignment wrapText="1"/>
    </xf>
    <xf numFmtId="0" fontId="26" fillId="0" borderId="24" xfId="0" applyFont="1" applyBorder="1"/>
    <xf numFmtId="0" fontId="14" fillId="0" borderId="0" xfId="0" applyFont="1"/>
    <xf numFmtId="4" fontId="10" fillId="50" borderId="24" xfId="0" applyNumberFormat="1" applyFont="1" applyFill="1" applyBorder="1" applyAlignment="1">
      <alignment wrapText="1"/>
    </xf>
    <xf numFmtId="0" fontId="50" fillId="22" borderId="24" xfId="0" applyFont="1" applyFill="1" applyBorder="1"/>
    <xf numFmtId="3" fontId="9" fillId="65" borderId="24" xfId="0" applyNumberFormat="1" applyFont="1" applyFill="1" applyBorder="1" applyAlignment="1">
      <alignment horizontal="right" wrapText="1"/>
    </xf>
    <xf numFmtId="3" fontId="9" fillId="41" borderId="24" xfId="0" applyNumberFormat="1" applyFont="1" applyFill="1" applyBorder="1" applyAlignment="1">
      <alignment horizontal="center" wrapText="1"/>
    </xf>
    <xf numFmtId="0" fontId="10" fillId="56" borderId="24" xfId="0" applyFont="1" applyFill="1" applyBorder="1" applyAlignment="1">
      <alignment wrapText="1"/>
    </xf>
    <xf numFmtId="173" fontId="9" fillId="22" borderId="24" xfId="4" applyNumberFormat="1" applyFont="1" applyFill="1" applyBorder="1" applyAlignment="1">
      <alignment wrapText="1"/>
    </xf>
    <xf numFmtId="0" fontId="12" fillId="42" borderId="24" xfId="0" applyFont="1" applyFill="1" applyBorder="1" applyAlignment="1">
      <alignment horizontal="left" wrapText="1"/>
    </xf>
    <xf numFmtId="0" fontId="10" fillId="51" borderId="24" xfId="0" applyFont="1" applyFill="1" applyBorder="1" applyAlignment="1">
      <alignment wrapText="1"/>
    </xf>
    <xf numFmtId="0" fontId="26" fillId="0" borderId="1" xfId="0" applyFont="1" applyBorder="1" applyAlignment="1">
      <alignment wrapText="1"/>
    </xf>
    <xf numFmtId="0" fontId="9" fillId="67" borderId="24" xfId="0" applyFont="1" applyFill="1" applyBorder="1" applyAlignment="1">
      <alignment horizontal="center" wrapText="1"/>
    </xf>
    <xf numFmtId="3" fontId="9" fillId="68" borderId="24" xfId="0" applyNumberFormat="1" applyFont="1" applyFill="1" applyBorder="1" applyAlignment="1">
      <alignment horizontal="center" wrapText="1"/>
    </xf>
    <xf numFmtId="3" fontId="10" fillId="72" borderId="24" xfId="0" applyNumberFormat="1" applyFont="1" applyFill="1" applyBorder="1" applyAlignment="1">
      <alignment horizontal="left" wrapText="1"/>
    </xf>
    <xf numFmtId="3" fontId="9" fillId="73" borderId="24" xfId="0" applyNumberFormat="1" applyFont="1" applyFill="1" applyBorder="1" applyAlignment="1">
      <alignment wrapText="1"/>
    </xf>
    <xf numFmtId="0" fontId="9" fillId="67" borderId="24" xfId="0" applyFont="1" applyFill="1" applyBorder="1" applyAlignment="1">
      <alignment wrapText="1"/>
    </xf>
    <xf numFmtId="3" fontId="9" fillId="73" borderId="24" xfId="0" applyNumberFormat="1" applyFont="1" applyFill="1" applyBorder="1"/>
    <xf numFmtId="0" fontId="20" fillId="71" borderId="24" xfId="0" applyFont="1" applyFill="1" applyBorder="1" applyAlignment="1">
      <alignment horizontal="left" wrapText="1"/>
    </xf>
    <xf numFmtId="0" fontId="4" fillId="79" borderId="6" xfId="0" applyFont="1" applyFill="1" applyBorder="1" applyAlignment="1">
      <alignment horizontal="center" wrapText="1"/>
    </xf>
    <xf numFmtId="3" fontId="17" fillId="81" borderId="28" xfId="0" applyNumberFormat="1" applyFont="1" applyFill="1" applyBorder="1" applyAlignment="1">
      <alignment horizontal="right" vertical="center" wrapText="1"/>
    </xf>
    <xf numFmtId="3" fontId="9" fillId="73" borderId="24" xfId="0" applyNumberFormat="1" applyFont="1" applyFill="1" applyBorder="1" applyAlignment="1">
      <alignment horizontal="right" wrapText="1"/>
    </xf>
    <xf numFmtId="14" fontId="52" fillId="0" borderId="0" xfId="0" applyNumberFormat="1" applyFont="1"/>
    <xf numFmtId="0" fontId="9" fillId="82" borderId="24" xfId="0" applyFont="1" applyFill="1" applyBorder="1" applyAlignment="1">
      <alignment wrapText="1"/>
    </xf>
    <xf numFmtId="0" fontId="37" fillId="8" borderId="9" xfId="0" applyFont="1" applyFill="1" applyBorder="1"/>
    <xf numFmtId="10" fontId="14" fillId="8" borderId="7" xfId="0" applyNumberFormat="1" applyFont="1" applyFill="1" applyBorder="1"/>
    <xf numFmtId="3" fontId="36" fillId="8" borderId="4" xfId="0" applyNumberFormat="1" applyFont="1" applyFill="1" applyBorder="1"/>
    <xf numFmtId="0" fontId="9" fillId="71" borderId="24" xfId="0" applyFont="1" applyFill="1" applyBorder="1" applyAlignment="1">
      <alignment wrapText="1"/>
    </xf>
    <xf numFmtId="17" fontId="9" fillId="71" borderId="24" xfId="0" applyNumberFormat="1" applyFont="1" applyFill="1" applyBorder="1" applyAlignment="1">
      <alignment wrapText="1"/>
    </xf>
    <xf numFmtId="0" fontId="9" fillId="71" borderId="24" xfId="0" applyFont="1" applyFill="1" applyBorder="1" applyAlignment="1">
      <alignment horizontal="center" wrapText="1"/>
    </xf>
    <xf numFmtId="3" fontId="9" fillId="70" borderId="24" xfId="0" applyNumberFormat="1" applyFont="1" applyFill="1" applyBorder="1" applyAlignment="1">
      <alignment horizontal="center" wrapText="1"/>
    </xf>
    <xf numFmtId="0" fontId="9" fillId="72" borderId="24" xfId="0" applyFont="1" applyFill="1" applyBorder="1" applyAlignment="1">
      <alignment wrapText="1"/>
    </xf>
    <xf numFmtId="0" fontId="9" fillId="67" borderId="24" xfId="0" applyFont="1" applyFill="1" applyBorder="1" applyAlignment="1">
      <alignment horizontal="right" wrapText="1"/>
    </xf>
    <xf numFmtId="0" fontId="10" fillId="67" borderId="24" xfId="0" applyFont="1" applyFill="1" applyBorder="1" applyAlignment="1">
      <alignment wrapText="1"/>
    </xf>
    <xf numFmtId="14" fontId="9" fillId="71" borderId="24" xfId="0" applyNumberFormat="1" applyFont="1" applyFill="1" applyBorder="1" applyAlignment="1">
      <alignment horizontal="right" wrapText="1"/>
    </xf>
    <xf numFmtId="0" fontId="9" fillId="75" borderId="24" xfId="0" applyFont="1" applyFill="1" applyBorder="1" applyAlignment="1">
      <alignment wrapText="1"/>
    </xf>
    <xf numFmtId="0" fontId="9" fillId="71" borderId="24" xfId="0" applyFont="1" applyFill="1" applyBorder="1"/>
    <xf numFmtId="0" fontId="10" fillId="83" borderId="24" xfId="0" applyFont="1" applyFill="1" applyBorder="1" applyAlignment="1">
      <alignment wrapText="1"/>
    </xf>
    <xf numFmtId="168" fontId="9" fillId="71" borderId="24" xfId="0" applyNumberFormat="1" applyFont="1" applyFill="1" applyBorder="1" applyAlignment="1">
      <alignment wrapText="1"/>
    </xf>
    <xf numFmtId="15" fontId="9" fillId="71" borderId="24" xfId="0" applyNumberFormat="1" applyFont="1" applyFill="1" applyBorder="1" applyAlignment="1">
      <alignment wrapText="1"/>
    </xf>
    <xf numFmtId="0" fontId="9" fillId="8" borderId="4" xfId="0" applyFont="1" applyFill="1" applyBorder="1" applyAlignment="1">
      <alignment horizontal="center" wrapText="1"/>
    </xf>
    <xf numFmtId="3" fontId="9" fillId="8" borderId="4" xfId="0" applyNumberFormat="1" applyFont="1" applyFill="1" applyBorder="1" applyAlignment="1">
      <alignment wrapText="1"/>
    </xf>
    <xf numFmtId="15" fontId="9" fillId="22" borderId="24" xfId="0" applyNumberFormat="1" applyFont="1" applyFill="1" applyBorder="1" applyAlignment="1">
      <alignment wrapText="1"/>
    </xf>
    <xf numFmtId="0" fontId="9" fillId="71" borderId="24" xfId="0" applyFont="1" applyFill="1" applyBorder="1" applyAlignment="1">
      <alignment horizontal="right" wrapText="1"/>
    </xf>
    <xf numFmtId="3" fontId="9" fillId="0" borderId="6" xfId="0" applyNumberFormat="1" applyFont="1" applyBorder="1"/>
    <xf numFmtId="3" fontId="9" fillId="71" borderId="24" xfId="0" applyNumberFormat="1" applyFont="1" applyFill="1" applyBorder="1" applyAlignment="1">
      <alignment wrapText="1"/>
    </xf>
    <xf numFmtId="14" fontId="9" fillId="67" borderId="24" xfId="0" applyNumberFormat="1" applyFont="1" applyFill="1" applyBorder="1" applyAlignment="1">
      <alignment horizontal="right" wrapText="1"/>
    </xf>
    <xf numFmtId="3" fontId="9" fillId="71" borderId="24" xfId="0" applyNumberFormat="1" applyFont="1" applyFill="1" applyBorder="1" applyAlignment="1">
      <alignment horizontal="center" wrapText="1"/>
    </xf>
    <xf numFmtId="0" fontId="10" fillId="71" borderId="24" xfId="0" applyFont="1" applyFill="1" applyBorder="1" applyAlignment="1">
      <alignment wrapText="1"/>
    </xf>
    <xf numFmtId="3" fontId="9" fillId="71" borderId="24" xfId="0" applyNumberFormat="1" applyFont="1" applyFill="1" applyBorder="1" applyAlignment="1">
      <alignment horizontal="right" wrapText="1"/>
    </xf>
    <xf numFmtId="0" fontId="10" fillId="62" borderId="24" xfId="0" applyFont="1" applyFill="1" applyBorder="1" applyAlignment="1">
      <alignment wrapText="1"/>
    </xf>
    <xf numFmtId="1" fontId="9" fillId="72" borderId="24" xfId="0" applyNumberFormat="1" applyFont="1" applyFill="1" applyBorder="1" applyAlignment="1">
      <alignment horizontal="right" wrapText="1"/>
    </xf>
    <xf numFmtId="0" fontId="9" fillId="74" borderId="24" xfId="0" applyFont="1" applyFill="1" applyBorder="1" applyAlignment="1">
      <alignment wrapText="1"/>
    </xf>
    <xf numFmtId="2" fontId="9" fillId="71" borderId="24" xfId="0" applyNumberFormat="1" applyFont="1" applyFill="1" applyBorder="1" applyAlignment="1">
      <alignment wrapText="1"/>
    </xf>
    <xf numFmtId="0" fontId="9" fillId="57" borderId="24" xfId="0" applyFont="1" applyFill="1" applyBorder="1"/>
    <xf numFmtId="14" fontId="9" fillId="53" borderId="24" xfId="0" applyNumberFormat="1" applyFont="1" applyFill="1" applyBorder="1" applyAlignment="1">
      <alignment wrapText="1"/>
    </xf>
    <xf numFmtId="0" fontId="9" fillId="85" borderId="24" xfId="0" applyFont="1" applyFill="1" applyBorder="1"/>
    <xf numFmtId="14" fontId="9" fillId="24" borderId="24" xfId="0" applyNumberFormat="1" applyFont="1" applyFill="1" applyBorder="1" applyAlignment="1">
      <alignment horizontal="right" wrapText="1"/>
    </xf>
    <xf numFmtId="14" fontId="26" fillId="72" borderId="24" xfId="0" applyNumberFormat="1" applyFont="1" applyFill="1" applyBorder="1"/>
    <xf numFmtId="1" fontId="9" fillId="71" borderId="24" xfId="0" applyNumberFormat="1" applyFont="1" applyFill="1" applyBorder="1" applyAlignment="1">
      <alignment horizontal="right" wrapText="1"/>
    </xf>
    <xf numFmtId="0" fontId="9" fillId="71" borderId="24" xfId="0" applyFont="1" applyFill="1" applyBorder="1" applyAlignment="1">
      <alignment horizontal="left" wrapText="1"/>
    </xf>
    <xf numFmtId="17" fontId="9" fillId="26" borderId="24" xfId="0" applyNumberFormat="1" applyFont="1" applyFill="1" applyBorder="1"/>
    <xf numFmtId="0" fontId="9" fillId="87" borderId="24" xfId="0" applyFont="1" applyFill="1" applyBorder="1" applyAlignment="1">
      <alignment wrapText="1"/>
    </xf>
    <xf numFmtId="17" fontId="9" fillId="87" borderId="24" xfId="0" applyNumberFormat="1" applyFont="1" applyFill="1" applyBorder="1" applyAlignment="1">
      <alignment wrapText="1"/>
    </xf>
    <xf numFmtId="165" fontId="9" fillId="68" borderId="24" xfId="0" applyNumberFormat="1" applyFont="1" applyFill="1" applyBorder="1" applyAlignment="1">
      <alignment horizontal="center" wrapText="1"/>
    </xf>
    <xf numFmtId="3" fontId="9" fillId="70" borderId="24" xfId="0" applyNumberFormat="1" applyFont="1" applyFill="1" applyBorder="1" applyAlignment="1">
      <alignment horizontal="right" wrapText="1"/>
    </xf>
    <xf numFmtId="14" fontId="9" fillId="57" borderId="24" xfId="0" applyNumberFormat="1" applyFont="1" applyFill="1" applyBorder="1" applyAlignment="1">
      <alignment horizontal="right" wrapText="1"/>
    </xf>
    <xf numFmtId="0" fontId="24" fillId="0" borderId="1" xfId="0" applyFont="1" applyBorder="1"/>
    <xf numFmtId="0" fontId="10" fillId="89" borderId="24" xfId="0" applyFont="1" applyFill="1" applyBorder="1" applyAlignment="1">
      <alignment wrapText="1"/>
    </xf>
    <xf numFmtId="3" fontId="9" fillId="90" borderId="24" xfId="0" applyNumberFormat="1" applyFont="1" applyFill="1" applyBorder="1" applyAlignment="1">
      <alignment wrapText="1"/>
    </xf>
    <xf numFmtId="0" fontId="9" fillId="89" borderId="24" xfId="0" applyFont="1" applyFill="1" applyBorder="1" applyAlignment="1">
      <alignment wrapText="1"/>
    </xf>
    <xf numFmtId="0" fontId="9" fillId="89" borderId="24" xfId="0" applyFont="1" applyFill="1" applyBorder="1" applyAlignment="1">
      <alignment horizontal="center" wrapText="1"/>
    </xf>
    <xf numFmtId="0" fontId="9" fillId="83" borderId="24" xfId="0" applyFont="1" applyFill="1" applyBorder="1" applyAlignment="1">
      <alignment wrapText="1"/>
    </xf>
    <xf numFmtId="14" fontId="9" fillId="91" borderId="24" xfId="0" applyNumberFormat="1" applyFont="1" applyFill="1" applyBorder="1" applyAlignment="1">
      <alignment wrapText="1"/>
    </xf>
    <xf numFmtId="0" fontId="9" fillId="0" borderId="25" xfId="0" applyFont="1" applyBorder="1" applyAlignment="1">
      <alignment wrapText="1"/>
    </xf>
    <xf numFmtId="0" fontId="10" fillId="8" borderId="25" xfId="0" applyFont="1" applyFill="1" applyBorder="1" applyAlignment="1">
      <alignment wrapText="1"/>
    </xf>
    <xf numFmtId="0" fontId="9" fillId="22" borderId="25" xfId="0" applyFont="1" applyFill="1" applyBorder="1" applyAlignment="1">
      <alignment wrapText="1"/>
    </xf>
    <xf numFmtId="0" fontId="76" fillId="88" borderId="1" xfId="6" applyFont="1" applyBorder="1"/>
    <xf numFmtId="168" fontId="9" fillId="67" borderId="24" xfId="0" applyNumberFormat="1" applyFont="1" applyFill="1" applyBorder="1" applyAlignment="1">
      <alignment wrapText="1"/>
    </xf>
    <xf numFmtId="0" fontId="9" fillId="67" borderId="24" xfId="0" applyFont="1" applyFill="1" applyBorder="1" applyAlignment="1">
      <alignment horizontal="left" wrapText="1"/>
    </xf>
    <xf numFmtId="3" fontId="9" fillId="0" borderId="1" xfId="0" applyNumberFormat="1" applyFont="1" applyBorder="1" applyAlignment="1">
      <alignment wrapText="1"/>
    </xf>
    <xf numFmtId="3" fontId="9" fillId="72" borderId="24" xfId="0" applyNumberFormat="1" applyFont="1" applyFill="1" applyBorder="1" applyAlignment="1">
      <alignment wrapText="1"/>
    </xf>
    <xf numFmtId="0" fontId="53" fillId="0" borderId="24" xfId="0" applyFont="1" applyBorder="1"/>
    <xf numFmtId="0" fontId="9" fillId="92" borderId="24" xfId="0" applyFont="1" applyFill="1" applyBorder="1" applyAlignment="1">
      <alignment wrapText="1"/>
    </xf>
    <xf numFmtId="0" fontId="9" fillId="8" borderId="26" xfId="0" applyFont="1" applyFill="1" applyBorder="1" applyAlignment="1">
      <alignment wrapText="1"/>
    </xf>
    <xf numFmtId="0" fontId="9" fillId="0" borderId="26" xfId="0" applyFont="1" applyBorder="1" applyAlignment="1">
      <alignment wrapText="1"/>
    </xf>
    <xf numFmtId="0" fontId="9" fillId="9" borderId="26" xfId="0" applyFont="1" applyFill="1" applyBorder="1" applyAlignment="1">
      <alignment wrapText="1"/>
    </xf>
    <xf numFmtId="0" fontId="9" fillId="0" borderId="9" xfId="0" applyFont="1" applyBorder="1" applyAlignment="1">
      <alignment wrapText="1"/>
    </xf>
    <xf numFmtId="0" fontId="16" fillId="0" borderId="1" xfId="0" applyFont="1" applyBorder="1" applyAlignment="1">
      <alignment wrapText="1"/>
    </xf>
    <xf numFmtId="3" fontId="1" fillId="0" borderId="1" xfId="0" applyNumberFormat="1" applyFont="1" applyBorder="1"/>
    <xf numFmtId="165" fontId="1" fillId="0" borderId="1" xfId="0" applyNumberFormat="1" applyFont="1" applyBorder="1"/>
    <xf numFmtId="0" fontId="9" fillId="61" borderId="24" xfId="0" applyFont="1" applyFill="1" applyBorder="1" applyAlignment="1">
      <alignment wrapText="1"/>
    </xf>
    <xf numFmtId="3" fontId="9" fillId="65" borderId="24" xfId="0" applyNumberFormat="1" applyFont="1" applyFill="1" applyBorder="1" applyAlignment="1">
      <alignment wrapText="1"/>
    </xf>
    <xf numFmtId="17" fontId="9" fillId="67" borderId="24" xfId="0" applyNumberFormat="1" applyFont="1" applyFill="1" applyBorder="1" applyAlignment="1">
      <alignment wrapText="1"/>
    </xf>
    <xf numFmtId="0" fontId="10" fillId="71" borderId="24" xfId="0" applyFont="1" applyFill="1" applyBorder="1" applyAlignment="1">
      <alignment horizontal="left" wrapText="1"/>
    </xf>
    <xf numFmtId="3" fontId="10" fillId="71" borderId="24" xfId="0" applyNumberFormat="1" applyFont="1" applyFill="1" applyBorder="1" applyAlignment="1">
      <alignment horizontal="left" wrapText="1"/>
    </xf>
    <xf numFmtId="3" fontId="10" fillId="62" borderId="24" xfId="0" applyNumberFormat="1" applyFont="1" applyFill="1" applyBorder="1" applyAlignment="1">
      <alignment horizontal="left" wrapText="1"/>
    </xf>
    <xf numFmtId="0" fontId="10" fillId="67" borderId="24" xfId="0" applyFont="1" applyFill="1" applyBorder="1" applyAlignment="1">
      <alignment horizontal="left" wrapText="1"/>
    </xf>
    <xf numFmtId="17" fontId="9" fillId="67" borderId="24" xfId="0" applyNumberFormat="1" applyFont="1" applyFill="1" applyBorder="1" applyAlignment="1">
      <alignment horizontal="right"/>
    </xf>
    <xf numFmtId="0" fontId="9" fillId="57" borderId="24" xfId="0" applyFont="1" applyFill="1" applyBorder="1" applyAlignment="1">
      <alignment horizontal="right" wrapText="1"/>
    </xf>
    <xf numFmtId="0" fontId="10" fillId="57" borderId="24" xfId="0" applyFont="1" applyFill="1" applyBorder="1" applyAlignment="1">
      <alignment horizontal="left" wrapText="1"/>
    </xf>
    <xf numFmtId="17" fontId="9" fillId="71" borderId="24" xfId="0" applyNumberFormat="1" applyFont="1" applyFill="1" applyBorder="1" applyAlignment="1">
      <alignment horizontal="left" wrapText="1"/>
    </xf>
    <xf numFmtId="17" fontId="9" fillId="71" borderId="24" xfId="0" applyNumberFormat="1" applyFont="1" applyFill="1" applyBorder="1" applyAlignment="1">
      <alignment horizontal="right" wrapText="1"/>
    </xf>
    <xf numFmtId="17" fontId="9" fillId="22" borderId="24" xfId="0" applyNumberFormat="1" applyFont="1" applyFill="1" applyBorder="1" applyAlignment="1">
      <alignment horizontal="left" wrapText="1"/>
    </xf>
    <xf numFmtId="3" fontId="12" fillId="0" borderId="24" xfId="0" applyNumberFormat="1" applyFont="1" applyBorder="1" applyAlignment="1">
      <alignment horizontal="right" wrapText="1"/>
    </xf>
    <xf numFmtId="0" fontId="9" fillId="93" borderId="24" xfId="0" applyFont="1" applyFill="1" applyBorder="1" applyAlignment="1">
      <alignment wrapText="1"/>
    </xf>
    <xf numFmtId="0" fontId="20" fillId="0" borderId="24" xfId="0" applyFont="1" applyBorder="1" applyAlignment="1">
      <alignment horizontal="center" wrapText="1"/>
    </xf>
    <xf numFmtId="0" fontId="9" fillId="0" borderId="31" xfId="0" applyFont="1" applyBorder="1" applyAlignment="1">
      <alignment wrapText="1"/>
    </xf>
    <xf numFmtId="0" fontId="24" fillId="0" borderId="24" xfId="0" applyFont="1" applyBorder="1"/>
    <xf numFmtId="0" fontId="9" fillId="22" borderId="31" xfId="0" applyFont="1" applyFill="1" applyBorder="1" applyAlignment="1">
      <alignment wrapText="1"/>
    </xf>
    <xf numFmtId="3" fontId="9" fillId="4" borderId="31" xfId="0" applyNumberFormat="1" applyFont="1" applyFill="1" applyBorder="1" applyAlignment="1">
      <alignment wrapText="1"/>
    </xf>
    <xf numFmtId="0" fontId="52" fillId="71" borderId="24" xfId="0" applyFont="1" applyFill="1" applyBorder="1" applyAlignment="1">
      <alignment wrapText="1"/>
    </xf>
    <xf numFmtId="14" fontId="50" fillId="57" borderId="0" xfId="0" applyNumberFormat="1" applyFont="1" applyFill="1"/>
    <xf numFmtId="0" fontId="9" fillId="72" borderId="6" xfId="0" applyFont="1" applyFill="1" applyBorder="1" applyAlignment="1">
      <alignment wrapText="1"/>
    </xf>
    <xf numFmtId="3" fontId="12" fillId="23" borderId="24" xfId="0" applyNumberFormat="1" applyFont="1" applyFill="1" applyBorder="1" applyAlignment="1">
      <alignment horizontal="center" wrapText="1"/>
    </xf>
    <xf numFmtId="0" fontId="12" fillId="23" borderId="24" xfId="0" applyFont="1" applyFill="1" applyBorder="1" applyAlignment="1">
      <alignment horizontal="center" wrapText="1"/>
    </xf>
    <xf numFmtId="3" fontId="9" fillId="71" borderId="24" xfId="0" applyNumberFormat="1" applyFont="1" applyFill="1" applyBorder="1"/>
    <xf numFmtId="0" fontId="10" fillId="25" borderId="24" xfId="0" applyFont="1" applyFill="1" applyBorder="1"/>
    <xf numFmtId="3" fontId="9" fillId="70" borderId="24" xfId="0" applyNumberFormat="1" applyFont="1" applyFill="1" applyBorder="1" applyAlignment="1">
      <alignment wrapText="1"/>
    </xf>
    <xf numFmtId="3" fontId="12" fillId="0" borderId="24" xfId="0" applyNumberFormat="1" applyFont="1" applyBorder="1" applyAlignment="1">
      <alignment horizontal="left" wrapText="1"/>
    </xf>
    <xf numFmtId="1" fontId="9" fillId="67" borderId="24" xfId="0" applyNumberFormat="1" applyFont="1" applyFill="1" applyBorder="1" applyAlignment="1">
      <alignment horizontal="right" wrapText="1"/>
    </xf>
    <xf numFmtId="3" fontId="9" fillId="57" borderId="24" xfId="0" applyNumberFormat="1" applyFont="1" applyFill="1" applyBorder="1" applyAlignment="1">
      <alignment horizontal="center" wrapText="1"/>
    </xf>
    <xf numFmtId="0" fontId="9" fillId="57" borderId="24" xfId="0" applyFont="1" applyFill="1" applyBorder="1" applyAlignment="1">
      <alignment horizontal="left" wrapText="1"/>
    </xf>
    <xf numFmtId="3" fontId="9" fillId="67" borderId="24" xfId="0" applyNumberFormat="1" applyFont="1" applyFill="1" applyBorder="1" applyAlignment="1">
      <alignment horizontal="right" wrapText="1"/>
    </xf>
    <xf numFmtId="3" fontId="9" fillId="67" borderId="24" xfId="0" applyNumberFormat="1" applyFont="1" applyFill="1" applyBorder="1" applyAlignment="1">
      <alignment wrapText="1"/>
    </xf>
    <xf numFmtId="0" fontId="10" fillId="0" borderId="25" xfId="0" applyFont="1" applyBorder="1" applyAlignment="1">
      <alignment wrapText="1"/>
    </xf>
    <xf numFmtId="0" fontId="9" fillId="0" borderId="25" xfId="0" applyFont="1" applyBorder="1" applyAlignment="1">
      <alignment horizontal="center" wrapText="1"/>
    </xf>
    <xf numFmtId="0" fontId="9" fillId="22" borderId="25" xfId="0" applyFont="1" applyFill="1" applyBorder="1" applyAlignment="1">
      <alignment horizontal="right" wrapText="1"/>
    </xf>
    <xf numFmtId="3" fontId="9" fillId="0" borderId="25" xfId="0" applyNumberFormat="1" applyFont="1" applyBorder="1" applyAlignment="1">
      <alignment wrapText="1"/>
    </xf>
    <xf numFmtId="0" fontId="9" fillId="0" borderId="25" xfId="0" applyFont="1" applyBorder="1" applyAlignment="1">
      <alignment horizontal="right" wrapText="1"/>
    </xf>
    <xf numFmtId="0" fontId="9" fillId="67" borderId="8" xfId="0" applyFont="1" applyFill="1" applyBorder="1" applyAlignment="1">
      <alignment wrapText="1"/>
    </xf>
    <xf numFmtId="3" fontId="9" fillId="0" borderId="31" xfId="0" applyNumberFormat="1" applyFont="1" applyBorder="1" applyAlignment="1">
      <alignment wrapText="1"/>
    </xf>
    <xf numFmtId="0" fontId="9" fillId="8" borderId="31" xfId="0" applyFont="1" applyFill="1" applyBorder="1" applyAlignment="1">
      <alignment wrapText="1"/>
    </xf>
    <xf numFmtId="0" fontId="9" fillId="72" borderId="24" xfId="0" applyFont="1" applyFill="1" applyBorder="1" applyAlignment="1">
      <alignment horizontal="left" wrapText="1"/>
    </xf>
    <xf numFmtId="0" fontId="52" fillId="8" borderId="24" xfId="0" applyFont="1" applyFill="1" applyBorder="1" applyAlignment="1">
      <alignment horizontal="center" wrapText="1"/>
    </xf>
    <xf numFmtId="0" fontId="9" fillId="8" borderId="23" xfId="0" applyFont="1" applyFill="1" applyBorder="1" applyAlignment="1">
      <alignment wrapText="1"/>
    </xf>
    <xf numFmtId="0" fontId="52" fillId="0" borderId="24" xfId="0" applyFont="1" applyBorder="1" applyAlignment="1">
      <alignment horizontal="center" wrapText="1"/>
    </xf>
    <xf numFmtId="0" fontId="26" fillId="0" borderId="0" xfId="0" applyFont="1" applyAlignment="1">
      <alignment wrapText="1"/>
    </xf>
    <xf numFmtId="0" fontId="26" fillId="0" borderId="0" xfId="0" applyFont="1"/>
    <xf numFmtId="0" fontId="50" fillId="0" borderId="24" xfId="0" applyFont="1" applyBorder="1" applyAlignment="1">
      <alignment horizontal="center"/>
    </xf>
    <xf numFmtId="0" fontId="10" fillId="0" borderId="25" xfId="0" applyFont="1" applyBorder="1"/>
    <xf numFmtId="0" fontId="0" fillId="0" borderId="4" xfId="0" applyBorder="1"/>
    <xf numFmtId="3" fontId="9" fillId="28" borderId="25" xfId="0" applyNumberFormat="1" applyFont="1" applyFill="1" applyBorder="1" applyAlignment="1">
      <alignment wrapText="1"/>
    </xf>
    <xf numFmtId="3" fontId="9" fillId="0" borderId="11" xfId="0" applyNumberFormat="1" applyFont="1" applyBorder="1" applyAlignment="1">
      <alignment wrapText="1"/>
    </xf>
    <xf numFmtId="0" fontId="10" fillId="25" borderId="24" xfId="0" applyFont="1" applyFill="1" applyBorder="1" applyAlignment="1">
      <alignment vertical="center" wrapText="1"/>
    </xf>
    <xf numFmtId="0" fontId="10" fillId="33" borderId="24" xfId="0" applyFont="1" applyFill="1" applyBorder="1" applyAlignment="1">
      <alignment horizontal="left" wrapText="1"/>
    </xf>
    <xf numFmtId="0" fontId="79" fillId="0" borderId="0" xfId="0" applyFont="1"/>
    <xf numFmtId="0" fontId="78" fillId="3" borderId="1" xfId="0" applyFont="1" applyFill="1" applyBorder="1"/>
    <xf numFmtId="0" fontId="78" fillId="4" borderId="1" xfId="0" applyFont="1" applyFill="1" applyBorder="1"/>
    <xf numFmtId="0" fontId="10" fillId="0" borderId="5" xfId="0" applyFont="1" applyBorder="1" applyAlignment="1">
      <alignment horizontal="center" wrapText="1"/>
    </xf>
    <xf numFmtId="0" fontId="47" fillId="9" borderId="24" xfId="0" applyFont="1" applyFill="1" applyBorder="1" applyAlignment="1">
      <alignment wrapText="1"/>
    </xf>
    <xf numFmtId="165" fontId="9" fillId="48" borderId="24" xfId="0" applyNumberFormat="1" applyFont="1" applyFill="1" applyBorder="1" applyAlignment="1">
      <alignment horizontal="center" wrapText="1"/>
    </xf>
    <xf numFmtId="165" fontId="9" fillId="28" borderId="24" xfId="0" applyNumberFormat="1" applyFont="1" applyFill="1" applyBorder="1" applyAlignment="1">
      <alignment horizontal="center" wrapText="1"/>
    </xf>
    <xf numFmtId="165" fontId="9" fillId="67" borderId="24" xfId="0" applyNumberFormat="1" applyFont="1" applyFill="1" applyBorder="1" applyAlignment="1">
      <alignment horizontal="center" wrapText="1"/>
    </xf>
    <xf numFmtId="165" fontId="9" fillId="4" borderId="24" xfId="0" applyNumberFormat="1" applyFont="1" applyFill="1" applyBorder="1" applyAlignment="1">
      <alignment horizontal="center" wrapText="1"/>
    </xf>
    <xf numFmtId="165" fontId="9" fillId="8" borderId="24" xfId="0" applyNumberFormat="1" applyFont="1" applyFill="1" applyBorder="1" applyAlignment="1">
      <alignment horizontal="center" wrapText="1"/>
    </xf>
    <xf numFmtId="165" fontId="9" fillId="3" borderId="24" xfId="0" applyNumberFormat="1" applyFont="1" applyFill="1" applyBorder="1" applyAlignment="1">
      <alignment horizontal="center" wrapText="1"/>
    </xf>
    <xf numFmtId="165" fontId="9" fillId="8" borderId="24" xfId="0" applyNumberFormat="1" applyFont="1" applyFill="1" applyBorder="1" applyAlignment="1">
      <alignment horizontal="left" wrapText="1"/>
    </xf>
    <xf numFmtId="165" fontId="9" fillId="26" borderId="24" xfId="0" applyNumberFormat="1" applyFont="1" applyFill="1" applyBorder="1" applyAlignment="1">
      <alignment horizontal="center" wrapText="1"/>
    </xf>
    <xf numFmtId="165" fontId="9" fillId="0" borderId="24" xfId="0" applyNumberFormat="1" applyFont="1" applyBorder="1" applyAlignment="1">
      <alignment horizontal="center" wrapText="1"/>
    </xf>
    <xf numFmtId="165" fontId="9" fillId="22" borderId="24" xfId="0" applyNumberFormat="1" applyFont="1" applyFill="1" applyBorder="1" applyAlignment="1">
      <alignment horizontal="center" wrapText="1"/>
    </xf>
    <xf numFmtId="0" fontId="9" fillId="0" borderId="23" xfId="0" applyFont="1" applyBorder="1" applyAlignment="1">
      <alignment wrapText="1"/>
    </xf>
    <xf numFmtId="3" fontId="9" fillId="0" borderId="23" xfId="0" applyNumberFormat="1" applyFont="1" applyBorder="1" applyAlignment="1">
      <alignment wrapText="1"/>
    </xf>
    <xf numFmtId="165" fontId="9" fillId="4" borderId="6" xfId="0" applyNumberFormat="1" applyFont="1" applyFill="1" applyBorder="1" applyAlignment="1">
      <alignment horizontal="center" wrapText="1"/>
    </xf>
    <xf numFmtId="0" fontId="47" fillId="8" borderId="6" xfId="0" applyFont="1" applyFill="1" applyBorder="1" applyAlignment="1">
      <alignment wrapText="1"/>
    </xf>
    <xf numFmtId="165" fontId="9" fillId="0" borderId="6" xfId="0" applyNumberFormat="1" applyFont="1" applyBorder="1" applyAlignment="1">
      <alignment wrapText="1"/>
    </xf>
    <xf numFmtId="165" fontId="9" fillId="8" borderId="6" xfId="0" applyNumberFormat="1" applyFont="1" applyFill="1" applyBorder="1" applyAlignment="1">
      <alignment horizontal="left" wrapText="1"/>
    </xf>
    <xf numFmtId="165" fontId="9" fillId="4" borderId="8" xfId="0" applyNumberFormat="1" applyFont="1" applyFill="1" applyBorder="1" applyAlignment="1">
      <alignment horizontal="left" wrapText="1"/>
    </xf>
    <xf numFmtId="0" fontId="45" fillId="0" borderId="1" xfId="0" applyFont="1" applyBorder="1"/>
    <xf numFmtId="0" fontId="21" fillId="29" borderId="24" xfId="0" applyFont="1" applyFill="1" applyBorder="1" applyAlignment="1">
      <alignment wrapText="1"/>
    </xf>
    <xf numFmtId="49" fontId="9" fillId="5" borderId="24" xfId="0" applyNumberFormat="1" applyFont="1" applyFill="1" applyBorder="1" applyAlignment="1">
      <alignment horizontal="left" wrapText="1"/>
    </xf>
    <xf numFmtId="0" fontId="21" fillId="42" borderId="24" xfId="0" applyFont="1" applyFill="1" applyBorder="1" applyAlignment="1">
      <alignment wrapText="1"/>
    </xf>
    <xf numFmtId="0" fontId="21" fillId="46" borderId="24" xfId="0" applyFont="1" applyFill="1" applyBorder="1" applyAlignment="1">
      <alignment wrapText="1"/>
    </xf>
    <xf numFmtId="0" fontId="21" fillId="24" borderId="24" xfId="0" applyFont="1" applyFill="1" applyBorder="1" applyAlignment="1">
      <alignment wrapText="1"/>
    </xf>
    <xf numFmtId="3" fontId="80" fillId="22" borderId="24" xfId="0" applyNumberFormat="1" applyFont="1" applyFill="1" applyBorder="1" applyAlignment="1">
      <alignment wrapText="1"/>
    </xf>
    <xf numFmtId="0" fontId="81" fillId="71" borderId="0" xfId="0" applyFont="1" applyFill="1"/>
    <xf numFmtId="0" fontId="21" fillId="26" borderId="24" xfId="0" applyFont="1" applyFill="1" applyBorder="1" applyAlignment="1">
      <alignment wrapText="1"/>
    </xf>
    <xf numFmtId="0" fontId="21" fillId="22" borderId="24" xfId="0" applyFont="1" applyFill="1" applyBorder="1" applyAlignment="1">
      <alignment wrapText="1"/>
    </xf>
    <xf numFmtId="14" fontId="9" fillId="34" borderId="24" xfId="0" applyNumberFormat="1" applyFont="1" applyFill="1" applyBorder="1" applyAlignment="1">
      <alignment wrapText="1"/>
    </xf>
    <xf numFmtId="0" fontId="9" fillId="34" borderId="24" xfId="0" applyFont="1" applyFill="1" applyBorder="1" applyAlignment="1">
      <alignment wrapText="1"/>
    </xf>
    <xf numFmtId="0" fontId="49" fillId="0" borderId="22" xfId="5" applyFont="1" applyBorder="1" applyAlignment="1">
      <alignment wrapText="1"/>
    </xf>
    <xf numFmtId="0" fontId="49" fillId="82" borderId="22" xfId="5" applyFont="1" applyFill="1" applyBorder="1" applyAlignment="1">
      <alignment wrapText="1"/>
    </xf>
    <xf numFmtId="14" fontId="21" fillId="22" borderId="24" xfId="0" applyNumberFormat="1" applyFont="1" applyFill="1" applyBorder="1" applyAlignment="1">
      <alignment wrapText="1"/>
    </xf>
    <xf numFmtId="0" fontId="11" fillId="8" borderId="24" xfId="1" applyFont="1" applyFill="1" applyBorder="1" applyAlignment="1">
      <alignment wrapText="1"/>
    </xf>
    <xf numFmtId="14" fontId="9" fillId="22" borderId="24" xfId="0" applyNumberFormat="1" applyFont="1" applyFill="1" applyBorder="1" applyAlignment="1">
      <alignment horizontal="left" wrapText="1"/>
    </xf>
    <xf numFmtId="14" fontId="49" fillId="57" borderId="22" xfId="5" applyNumberFormat="1" applyFont="1" applyFill="1" applyBorder="1" applyAlignment="1">
      <alignment wrapText="1"/>
    </xf>
    <xf numFmtId="17" fontId="49" fillId="57" borderId="29" xfId="5" applyNumberFormat="1" applyFont="1" applyFill="1" applyBorder="1" applyAlignment="1">
      <alignment wrapText="1"/>
    </xf>
    <xf numFmtId="0" fontId="53" fillId="0" borderId="24" xfId="6" applyFont="1" applyFill="1" applyBorder="1" applyAlignment="1">
      <alignment wrapText="1"/>
    </xf>
    <xf numFmtId="0" fontId="53" fillId="0" borderId="24" xfId="6" applyFont="1" applyFill="1" applyBorder="1"/>
    <xf numFmtId="0" fontId="53" fillId="0" borderId="24" xfId="6" applyFont="1" applyFill="1" applyBorder="1" applyAlignment="1">
      <alignment horizontal="center"/>
    </xf>
    <xf numFmtId="0" fontId="53" fillId="88" borderId="24" xfId="6" applyFont="1" applyBorder="1" applyAlignment="1">
      <alignment wrapText="1"/>
    </xf>
    <xf numFmtId="3" fontId="53" fillId="0" borderId="24" xfId="6" applyNumberFormat="1" applyFont="1" applyFill="1" applyBorder="1" applyAlignment="1">
      <alignment wrapText="1"/>
    </xf>
    <xf numFmtId="3" fontId="53" fillId="0" borderId="24" xfId="6" applyNumberFormat="1" applyFont="1" applyFill="1" applyBorder="1" applyAlignment="1">
      <alignment horizontal="right" wrapText="1"/>
    </xf>
    <xf numFmtId="4" fontId="53" fillId="0" borderId="24" xfId="6" applyNumberFormat="1" applyFont="1" applyFill="1" applyBorder="1"/>
    <xf numFmtId="0" fontId="9" fillId="45" borderId="24" xfId="0" applyFont="1" applyFill="1" applyBorder="1" applyAlignment="1">
      <alignment wrapText="1"/>
    </xf>
    <xf numFmtId="0" fontId="50" fillId="22" borderId="31" xfId="0" applyFont="1" applyFill="1" applyBorder="1" applyAlignment="1">
      <alignment wrapText="1"/>
    </xf>
    <xf numFmtId="0" fontId="11" fillId="0" borderId="24" xfId="1" applyFont="1" applyFill="1" applyBorder="1" applyAlignment="1">
      <alignment wrapText="1"/>
    </xf>
    <xf numFmtId="0" fontId="53" fillId="0" borderId="24" xfId="0" applyFont="1" applyBorder="1" applyAlignment="1">
      <alignment wrapText="1"/>
    </xf>
    <xf numFmtId="0" fontId="9" fillId="38" borderId="24" xfId="0" applyFont="1" applyFill="1" applyBorder="1" applyAlignment="1">
      <alignment wrapText="1"/>
    </xf>
    <xf numFmtId="0" fontId="9" fillId="35" borderId="24" xfId="0" applyFont="1" applyFill="1" applyBorder="1" applyAlignment="1">
      <alignment wrapText="1"/>
    </xf>
    <xf numFmtId="0" fontId="9" fillId="14" borderId="6" xfId="0" applyFont="1" applyFill="1" applyBorder="1" applyAlignment="1">
      <alignment wrapText="1"/>
    </xf>
    <xf numFmtId="169" fontId="9" fillId="14" borderId="6" xfId="0" applyNumberFormat="1" applyFont="1" applyFill="1" applyBorder="1"/>
    <xf numFmtId="3" fontId="9" fillId="12" borderId="24" xfId="0" applyNumberFormat="1" applyFont="1" applyFill="1" applyBorder="1"/>
    <xf numFmtId="3" fontId="10" fillId="12" borderId="24" xfId="0" applyNumberFormat="1" applyFont="1" applyFill="1" applyBorder="1"/>
    <xf numFmtId="165" fontId="9" fillId="4" borderId="24" xfId="0" applyNumberFormat="1" applyFont="1" applyFill="1" applyBorder="1" applyAlignment="1">
      <alignment horizontal="right" wrapText="1"/>
    </xf>
    <xf numFmtId="0" fontId="9" fillId="15" borderId="24" xfId="0" applyFont="1" applyFill="1" applyBorder="1" applyAlignment="1">
      <alignment horizontal="left" wrapText="1"/>
    </xf>
    <xf numFmtId="3" fontId="9" fillId="15" borderId="24" xfId="0" applyNumberFormat="1" applyFont="1" applyFill="1" applyBorder="1" applyAlignment="1">
      <alignment wrapText="1"/>
    </xf>
    <xf numFmtId="14" fontId="9" fillId="22" borderId="24" xfId="0" applyNumberFormat="1" applyFont="1" applyFill="1" applyBorder="1" applyAlignment="1">
      <alignment horizontal="right" wrapText="1"/>
    </xf>
    <xf numFmtId="14" fontId="9" fillId="22" borderId="24" xfId="0" applyNumberFormat="1" applyFont="1" applyFill="1" applyBorder="1" applyAlignment="1">
      <alignment wrapText="1"/>
    </xf>
    <xf numFmtId="14" fontId="9" fillId="0" borderId="24" xfId="0" applyNumberFormat="1" applyFont="1" applyBorder="1" applyAlignment="1">
      <alignment wrapText="1"/>
    </xf>
    <xf numFmtId="14" fontId="9" fillId="8" borderId="24" xfId="0" applyNumberFormat="1" applyFont="1" applyFill="1" applyBorder="1" applyAlignment="1">
      <alignment horizontal="right"/>
    </xf>
    <xf numFmtId="3" fontId="9" fillId="14" borderId="24" xfId="0" applyNumberFormat="1" applyFont="1" applyFill="1" applyBorder="1"/>
    <xf numFmtId="3" fontId="9" fillId="5" borderId="24" xfId="0" applyNumberFormat="1" applyFont="1" applyFill="1" applyBorder="1" applyAlignment="1">
      <alignment horizontal="left"/>
    </xf>
    <xf numFmtId="3" fontId="10" fillId="5" borderId="24" xfId="0" applyNumberFormat="1" applyFont="1" applyFill="1" applyBorder="1"/>
    <xf numFmtId="0" fontId="9" fillId="6" borderId="24" xfId="0" applyFont="1" applyFill="1" applyBorder="1" applyAlignment="1">
      <alignment horizontal="left" wrapText="1"/>
    </xf>
    <xf numFmtId="17" fontId="9" fillId="0" borderId="24" xfId="0" applyNumberFormat="1" applyFont="1" applyBorder="1" applyAlignment="1">
      <alignment horizontal="right"/>
    </xf>
    <xf numFmtId="165" fontId="9" fillId="70" borderId="24" xfId="0" applyNumberFormat="1" applyFont="1" applyFill="1" applyBorder="1" applyAlignment="1">
      <alignment horizontal="right" wrapText="1"/>
    </xf>
    <xf numFmtId="14" fontId="9" fillId="8" borderId="24" xfId="0" applyNumberFormat="1" applyFont="1" applyFill="1" applyBorder="1" applyAlignment="1">
      <alignment wrapText="1"/>
    </xf>
    <xf numFmtId="3" fontId="9" fillId="0" borderId="24" xfId="0" applyNumberFormat="1" applyFont="1" applyBorder="1" applyAlignment="1">
      <alignment horizontal="left"/>
    </xf>
    <xf numFmtId="3" fontId="9" fillId="22" borderId="24" xfId="0" applyNumberFormat="1" applyFont="1" applyFill="1" applyBorder="1" applyAlignment="1">
      <alignment horizontal="left"/>
    </xf>
    <xf numFmtId="3" fontId="10" fillId="22" borderId="24" xfId="0" applyNumberFormat="1" applyFont="1" applyFill="1" applyBorder="1" applyAlignment="1">
      <alignment horizontal="left"/>
    </xf>
    <xf numFmtId="3" fontId="9" fillId="3" borderId="24" xfId="0" applyNumberFormat="1" applyFont="1" applyFill="1" applyBorder="1" applyAlignment="1">
      <alignment horizontal="left"/>
    </xf>
    <xf numFmtId="0" fontId="9" fillId="14" borderId="24" xfId="0" applyFont="1" applyFill="1" applyBorder="1" applyAlignment="1">
      <alignment horizontal="left" wrapText="1"/>
    </xf>
    <xf numFmtId="3" fontId="9" fillId="17" borderId="24" xfId="0" applyNumberFormat="1" applyFont="1" applyFill="1" applyBorder="1" applyAlignment="1">
      <alignment horizontal="right" wrapText="1"/>
    </xf>
    <xf numFmtId="165" fontId="9" fillId="17" borderId="24" xfId="0" applyNumberFormat="1" applyFont="1" applyFill="1" applyBorder="1"/>
    <xf numFmtId="3" fontId="9" fillId="26" borderId="24" xfId="0" applyNumberFormat="1" applyFont="1" applyFill="1" applyBorder="1" applyAlignment="1">
      <alignment horizontal="left"/>
    </xf>
    <xf numFmtId="3" fontId="12" fillId="0" borderId="24" xfId="0" applyNumberFormat="1" applyFont="1" applyBorder="1" applyAlignment="1">
      <alignment horizontal="right"/>
    </xf>
    <xf numFmtId="165" fontId="9" fillId="0" borderId="24" xfId="0" applyNumberFormat="1" applyFont="1" applyBorder="1" applyAlignment="1">
      <alignment horizontal="left" wrapText="1"/>
    </xf>
    <xf numFmtId="165" fontId="9" fillId="12" borderId="24" xfId="0" applyNumberFormat="1" applyFont="1" applyFill="1" applyBorder="1" applyAlignment="1">
      <alignment horizontal="left"/>
    </xf>
    <xf numFmtId="165" fontId="9" fillId="8" borderId="24" xfId="0" applyNumberFormat="1" applyFont="1" applyFill="1" applyBorder="1" applyAlignment="1">
      <alignment horizontal="left"/>
    </xf>
    <xf numFmtId="3" fontId="12" fillId="8" borderId="24" xfId="0" applyNumberFormat="1" applyFont="1" applyFill="1" applyBorder="1" applyAlignment="1">
      <alignment horizontal="right"/>
    </xf>
    <xf numFmtId="3" fontId="9" fillId="17" borderId="24" xfId="0" applyNumberFormat="1" applyFont="1" applyFill="1" applyBorder="1"/>
    <xf numFmtId="3" fontId="9" fillId="17" borderId="24" xfId="0" applyNumberFormat="1" applyFont="1" applyFill="1" applyBorder="1" applyAlignment="1">
      <alignment horizontal="right"/>
    </xf>
    <xf numFmtId="165" fontId="9" fillId="8" borderId="24" xfId="0" applyNumberFormat="1" applyFont="1" applyFill="1" applyBorder="1"/>
    <xf numFmtId="165" fontId="9" fillId="0" borderId="24" xfId="0" applyNumberFormat="1" applyFont="1" applyBorder="1" applyAlignment="1">
      <alignment horizontal="right" wrapText="1"/>
    </xf>
    <xf numFmtId="165" fontId="9" fillId="0" borderId="24" xfId="0" applyNumberFormat="1" applyFont="1" applyBorder="1"/>
    <xf numFmtId="0" fontId="9" fillId="57" borderId="24" xfId="0" applyFont="1" applyFill="1" applyBorder="1" applyAlignment="1">
      <alignment wrapText="1"/>
    </xf>
    <xf numFmtId="3" fontId="9" fillId="57" borderId="24" xfId="0" applyNumberFormat="1" applyFont="1" applyFill="1" applyBorder="1"/>
    <xf numFmtId="3" fontId="9" fillId="12" borderId="24" xfId="0" applyNumberFormat="1" applyFont="1" applyFill="1" applyBorder="1" applyAlignment="1">
      <alignment horizontal="left"/>
    </xf>
    <xf numFmtId="3" fontId="9" fillId="12" borderId="24" xfId="0" applyNumberFormat="1" applyFont="1" applyFill="1" applyBorder="1" applyAlignment="1">
      <alignment horizontal="right"/>
    </xf>
    <xf numFmtId="3" fontId="9" fillId="51" borderId="24" xfId="0" applyNumberFormat="1" applyFont="1" applyFill="1" applyBorder="1" applyAlignment="1">
      <alignment horizontal="left"/>
    </xf>
    <xf numFmtId="3" fontId="9" fillId="45" borderId="24" xfId="0" applyNumberFormat="1" applyFont="1" applyFill="1" applyBorder="1" applyAlignment="1">
      <alignment wrapText="1"/>
    </xf>
    <xf numFmtId="0" fontId="9" fillId="12" borderId="24" xfId="0" applyFont="1" applyFill="1" applyBorder="1"/>
    <xf numFmtId="3" fontId="9" fillId="19" borderId="24" xfId="0" applyNumberFormat="1" applyFont="1" applyFill="1" applyBorder="1" applyAlignment="1">
      <alignment wrapText="1"/>
    </xf>
    <xf numFmtId="166" fontId="9" fillId="8" borderId="24" xfId="0" applyNumberFormat="1" applyFont="1" applyFill="1" applyBorder="1" applyAlignment="1">
      <alignment horizontal="left" wrapText="1"/>
    </xf>
    <xf numFmtId="3" fontId="9" fillId="22" borderId="24" xfId="0" applyNumberFormat="1" applyFont="1" applyFill="1" applyBorder="1" applyAlignment="1">
      <alignment horizontal="left" wrapText="1"/>
    </xf>
    <xf numFmtId="0" fontId="10" fillId="8" borderId="10" xfId="0" applyFont="1" applyFill="1" applyBorder="1" applyAlignment="1">
      <alignment wrapText="1"/>
    </xf>
    <xf numFmtId="165" fontId="9" fillId="11" borderId="24" xfId="0" applyNumberFormat="1" applyFont="1" applyFill="1" applyBorder="1" applyAlignment="1">
      <alignment horizontal="right" wrapText="1"/>
    </xf>
    <xf numFmtId="0" fontId="24" fillId="0" borderId="0" xfId="0" applyFont="1" applyAlignment="1">
      <alignment wrapText="1"/>
    </xf>
    <xf numFmtId="0" fontId="24" fillId="0" borderId="1" xfId="0" applyFont="1" applyBorder="1" applyAlignment="1">
      <alignment wrapText="1"/>
    </xf>
    <xf numFmtId="0" fontId="24" fillId="0" borderId="0" xfId="0" applyFont="1" applyAlignment="1">
      <alignment horizontal="left" wrapText="1"/>
    </xf>
    <xf numFmtId="165" fontId="9" fillId="3" borderId="24" xfId="0" applyNumberFormat="1" applyFont="1" applyFill="1" applyBorder="1" applyAlignment="1">
      <alignment horizontal="left" wrapText="1"/>
    </xf>
    <xf numFmtId="165" fontId="9" fillId="9" borderId="24" xfId="0" applyNumberFormat="1" applyFont="1" applyFill="1" applyBorder="1" applyAlignment="1">
      <alignment horizontal="left" wrapText="1"/>
    </xf>
    <xf numFmtId="14" fontId="1" fillId="0" borderId="0" xfId="0" applyNumberFormat="1" applyFont="1"/>
    <xf numFmtId="0" fontId="1" fillId="0" borderId="6" xfId="0" applyFont="1" applyBorder="1" applyAlignment="1">
      <alignment horizontal="right"/>
    </xf>
    <xf numFmtId="0" fontId="1" fillId="0" borderId="1" xfId="7" applyFont="1"/>
    <xf numFmtId="0" fontId="18" fillId="13" borderId="6" xfId="7" applyFont="1" applyFill="1" applyBorder="1"/>
    <xf numFmtId="0" fontId="18" fillId="13" borderId="9" xfId="7" applyFont="1" applyFill="1" applyBorder="1" applyAlignment="1">
      <alignment horizontal="center"/>
    </xf>
    <xf numFmtId="0" fontId="18" fillId="20" borderId="6" xfId="7" applyFont="1" applyFill="1" applyBorder="1"/>
    <xf numFmtId="0" fontId="18" fillId="96" borderId="6" xfId="7" applyFont="1" applyFill="1" applyBorder="1"/>
    <xf numFmtId="0" fontId="21" fillId="96" borderId="6" xfId="7" applyFont="1" applyFill="1" applyBorder="1" applyAlignment="1">
      <alignment horizontal="center" wrapText="1"/>
    </xf>
    <xf numFmtId="0" fontId="21" fillId="96" borderId="9" xfId="7" applyFont="1" applyFill="1" applyBorder="1" applyAlignment="1">
      <alignment horizontal="center" wrapText="1"/>
    </xf>
    <xf numFmtId="0" fontId="18" fillId="21" borderId="6" xfId="7" applyFont="1" applyFill="1" applyBorder="1"/>
    <xf numFmtId="0" fontId="18" fillId="21" borderId="6" xfId="7" applyFont="1" applyFill="1" applyBorder="1" applyAlignment="1">
      <alignment horizontal="center"/>
    </xf>
    <xf numFmtId="0" fontId="18" fillId="21" borderId="9" xfId="7" applyFont="1" applyFill="1" applyBorder="1" applyAlignment="1">
      <alignment horizontal="center"/>
    </xf>
    <xf numFmtId="0" fontId="18" fillId="21" borderId="8" xfId="7" applyFont="1" applyFill="1" applyBorder="1"/>
    <xf numFmtId="0" fontId="18" fillId="21" borderId="8" xfId="7" applyFont="1" applyFill="1" applyBorder="1" applyAlignment="1">
      <alignment horizontal="center"/>
    </xf>
    <xf numFmtId="0" fontId="18" fillId="21" borderId="14" xfId="7" applyFont="1" applyFill="1" applyBorder="1" applyAlignment="1">
      <alignment horizontal="center"/>
    </xf>
    <xf numFmtId="0" fontId="18" fillId="21" borderId="24" xfId="7" applyFont="1" applyFill="1" applyBorder="1"/>
    <xf numFmtId="0" fontId="21" fillId="81" borderId="24" xfId="7" applyFont="1" applyFill="1" applyBorder="1"/>
    <xf numFmtId="0" fontId="18" fillId="21" borderId="24" xfId="7" applyFont="1" applyFill="1" applyBorder="1" applyAlignment="1">
      <alignment horizontal="center"/>
    </xf>
    <xf numFmtId="0" fontId="5" fillId="0" borderId="1" xfId="7" applyFont="1"/>
    <xf numFmtId="0" fontId="4" fillId="0" borderId="1" xfId="7" applyFont="1" applyAlignment="1">
      <alignment horizontal="left" wrapText="1"/>
    </xf>
    <xf numFmtId="0" fontId="24" fillId="0" borderId="1" xfId="7" applyAlignment="1">
      <alignment horizontal="center"/>
    </xf>
    <xf numFmtId="0" fontId="29" fillId="0" borderId="1" xfId="7" applyFont="1"/>
    <xf numFmtId="0" fontId="39" fillId="0" borderId="6" xfId="0" applyFont="1" applyBorder="1"/>
    <xf numFmtId="0" fontId="19" fillId="42" borderId="1" xfId="2" applyFont="1" applyFill="1"/>
    <xf numFmtId="0" fontId="29" fillId="42" borderId="1" xfId="2" applyFill="1"/>
    <xf numFmtId="0" fontId="82" fillId="0" borderId="1" xfId="1" applyFont="1" applyBorder="1" applyAlignment="1"/>
    <xf numFmtId="3" fontId="9" fillId="0" borderId="0" xfId="0" applyNumberFormat="1" applyFont="1"/>
    <xf numFmtId="165" fontId="9" fillId="51" borderId="24" xfId="4" applyNumberFormat="1" applyFont="1" applyFill="1" applyBorder="1" applyAlignment="1">
      <alignment horizontal="right"/>
    </xf>
    <xf numFmtId="1" fontId="9" fillId="23" borderId="24" xfId="0" applyNumberFormat="1" applyFont="1" applyFill="1" applyBorder="1" applyAlignment="1">
      <alignment horizontal="right" wrapText="1"/>
    </xf>
    <xf numFmtId="3" fontId="36" fillId="8" borderId="6" xfId="0" applyNumberFormat="1" applyFont="1" applyFill="1" applyBorder="1"/>
    <xf numFmtId="10" fontId="83" fillId="0" borderId="24" xfId="0" applyNumberFormat="1" applyFont="1" applyBorder="1"/>
    <xf numFmtId="10" fontId="14" fillId="8" borderId="9" xfId="0" applyNumberFormat="1" applyFont="1" applyFill="1" applyBorder="1"/>
    <xf numFmtId="10" fontId="14" fillId="8" borderId="24" xfId="0" applyNumberFormat="1" applyFont="1" applyFill="1" applyBorder="1"/>
    <xf numFmtId="0" fontId="27" fillId="0" borderId="35" xfId="0" applyFont="1" applyBorder="1"/>
    <xf numFmtId="0" fontId="73" fillId="0" borderId="1" xfId="0" applyFont="1" applyBorder="1"/>
    <xf numFmtId="0" fontId="33" fillId="0" borderId="1" xfId="0" applyFont="1" applyBorder="1"/>
    <xf numFmtId="3" fontId="33" fillId="0" borderId="1" xfId="0" applyNumberFormat="1" applyFont="1" applyBorder="1"/>
    <xf numFmtId="0" fontId="33" fillId="18" borderId="37" xfId="0" applyFont="1" applyFill="1" applyBorder="1"/>
    <xf numFmtId="0" fontId="33" fillId="13" borderId="38" xfId="0" applyFont="1" applyFill="1" applyBorder="1"/>
    <xf numFmtId="0" fontId="33" fillId="20" borderId="38" xfId="0" applyFont="1" applyFill="1" applyBorder="1"/>
    <xf numFmtId="0" fontId="33" fillId="21" borderId="38" xfId="0" applyFont="1" applyFill="1" applyBorder="1"/>
    <xf numFmtId="0" fontId="14" fillId="8" borderId="34" xfId="0" applyFont="1" applyFill="1" applyBorder="1"/>
    <xf numFmtId="3" fontId="4" fillId="8" borderId="34" xfId="0" applyNumberFormat="1" applyFont="1" applyFill="1" applyBorder="1"/>
    <xf numFmtId="3" fontId="10" fillId="71" borderId="24" xfId="0" applyNumberFormat="1" applyFont="1" applyFill="1" applyBorder="1" applyAlignment="1">
      <alignment wrapText="1"/>
    </xf>
    <xf numFmtId="164" fontId="9" fillId="8" borderId="8" xfId="0" applyNumberFormat="1" applyFont="1" applyFill="1" applyBorder="1" applyAlignment="1">
      <alignment wrapText="1"/>
    </xf>
    <xf numFmtId="3" fontId="9" fillId="67" borderId="8" xfId="0" applyNumberFormat="1" applyFont="1" applyFill="1" applyBorder="1" applyAlignment="1">
      <alignment wrapText="1"/>
    </xf>
    <xf numFmtId="3" fontId="9" fillId="68" borderId="8" xfId="0" applyNumberFormat="1" applyFont="1" applyFill="1" applyBorder="1" applyAlignment="1">
      <alignment horizontal="right" wrapText="1"/>
    </xf>
    <xf numFmtId="164" fontId="9" fillId="8" borderId="8" xfId="0" applyNumberFormat="1" applyFont="1" applyFill="1" applyBorder="1" applyAlignment="1">
      <alignment horizontal="right" wrapText="1"/>
    </xf>
    <xf numFmtId="0" fontId="10" fillId="33" borderId="31" xfId="0" applyFont="1" applyFill="1" applyBorder="1" applyAlignment="1">
      <alignment wrapText="1"/>
    </xf>
    <xf numFmtId="0" fontId="10" fillId="8" borderId="31" xfId="0" applyFont="1" applyFill="1" applyBorder="1" applyAlignment="1">
      <alignment wrapText="1"/>
    </xf>
    <xf numFmtId="0" fontId="9" fillId="8" borderId="31" xfId="0" applyFont="1" applyFill="1" applyBorder="1" applyAlignment="1">
      <alignment horizontal="center" wrapText="1"/>
    </xf>
    <xf numFmtId="0" fontId="9" fillId="0" borderId="31" xfId="0" applyFont="1" applyBorder="1"/>
    <xf numFmtId="0" fontId="9" fillId="8" borderId="31" xfId="0" applyFont="1" applyFill="1" applyBorder="1" applyAlignment="1">
      <alignment horizontal="right" wrapText="1"/>
    </xf>
    <xf numFmtId="3" fontId="9" fillId="8" borderId="31" xfId="0" applyNumberFormat="1" applyFont="1" applyFill="1" applyBorder="1" applyAlignment="1">
      <alignment wrapText="1"/>
    </xf>
    <xf numFmtId="0" fontId="49" fillId="57" borderId="32" xfId="5" applyFont="1" applyFill="1" applyBorder="1" applyAlignment="1">
      <alignment wrapText="1"/>
    </xf>
    <xf numFmtId="164" fontId="9" fillId="8" borderId="24" xfId="0" applyNumberFormat="1" applyFont="1" applyFill="1" applyBorder="1" applyAlignment="1">
      <alignment wrapText="1"/>
    </xf>
    <xf numFmtId="0" fontId="9" fillId="70" borderId="24" xfId="0" applyFont="1" applyFill="1" applyBorder="1" applyAlignment="1">
      <alignment horizontal="center" wrapText="1"/>
    </xf>
    <xf numFmtId="4" fontId="9" fillId="70" borderId="24" xfId="0" applyNumberFormat="1" applyFont="1" applyFill="1" applyBorder="1" applyAlignment="1">
      <alignment wrapText="1"/>
    </xf>
    <xf numFmtId="3" fontId="33" fillId="13" borderId="7" xfId="0" applyNumberFormat="1" applyFont="1" applyFill="1" applyBorder="1"/>
    <xf numFmtId="3" fontId="33" fillId="18" borderId="4" xfId="0" applyNumberFormat="1" applyFont="1" applyFill="1" applyBorder="1"/>
    <xf numFmtId="3" fontId="33" fillId="20" borderId="11" xfId="0" applyNumberFormat="1" applyFont="1" applyFill="1" applyBorder="1"/>
    <xf numFmtId="3" fontId="17" fillId="80" borderId="24" xfId="0" applyNumberFormat="1" applyFont="1" applyFill="1" applyBorder="1" applyAlignment="1">
      <alignment horizontal="right" vertical="center" wrapText="1"/>
    </xf>
    <xf numFmtId="3" fontId="4" fillId="8" borderId="11" xfId="0" applyNumberFormat="1" applyFont="1" applyFill="1" applyBorder="1"/>
    <xf numFmtId="3" fontId="4" fillId="8" borderId="37" xfId="0" applyNumberFormat="1" applyFont="1" applyFill="1" applyBorder="1"/>
    <xf numFmtId="0" fontId="50" fillId="0" borderId="24" xfId="6" applyFont="1" applyFill="1" applyBorder="1"/>
    <xf numFmtId="0" fontId="50" fillId="0" borderId="24" xfId="6" applyFont="1" applyFill="1" applyBorder="1" applyAlignment="1">
      <alignment horizontal="center"/>
    </xf>
    <xf numFmtId="0" fontId="50" fillId="88" borderId="24" xfId="6" applyFont="1" applyBorder="1" applyAlignment="1">
      <alignment wrapText="1"/>
    </xf>
    <xf numFmtId="0" fontId="50" fillId="71" borderId="24" xfId="6" applyFont="1" applyFill="1" applyBorder="1" applyAlignment="1">
      <alignment wrapText="1"/>
    </xf>
    <xf numFmtId="168" fontId="50" fillId="71" borderId="24" xfId="6" applyNumberFormat="1" applyFont="1" applyFill="1" applyBorder="1" applyAlignment="1">
      <alignment horizontal="right" wrapText="1"/>
    </xf>
    <xf numFmtId="165" fontId="50" fillId="85" borderId="24" xfId="4" applyNumberFormat="1" applyFont="1" applyFill="1" applyBorder="1" applyAlignment="1">
      <alignment horizontal="right"/>
    </xf>
    <xf numFmtId="0" fontId="74" fillId="0" borderId="24" xfId="0" applyFont="1" applyBorder="1"/>
    <xf numFmtId="14" fontId="50" fillId="0" borderId="24" xfId="0" applyNumberFormat="1" applyFont="1" applyBorder="1"/>
    <xf numFmtId="14" fontId="50" fillId="0" borderId="24" xfId="0" applyNumberFormat="1" applyFont="1" applyBorder="1" applyAlignment="1">
      <alignment horizontal="right"/>
    </xf>
    <xf numFmtId="0" fontId="14" fillId="8" borderId="20" xfId="0" applyFont="1" applyFill="1" applyBorder="1"/>
    <xf numFmtId="3" fontId="33" fillId="21" borderId="15" xfId="0" applyNumberFormat="1" applyFont="1" applyFill="1" applyBorder="1"/>
    <xf numFmtId="3" fontId="33" fillId="20" borderId="8" xfId="0" applyNumberFormat="1" applyFont="1" applyFill="1" applyBorder="1"/>
    <xf numFmtId="3" fontId="33" fillId="21" borderId="40" xfId="0" applyNumberFormat="1" applyFont="1" applyFill="1" applyBorder="1"/>
    <xf numFmtId="43" fontId="9" fillId="0" borderId="24" xfId="0" applyNumberFormat="1" applyFont="1" applyBorder="1"/>
    <xf numFmtId="16" fontId="9" fillId="0" borderId="24" xfId="0" applyNumberFormat="1" applyFont="1" applyBorder="1" applyAlignment="1">
      <alignment wrapText="1"/>
    </xf>
    <xf numFmtId="3" fontId="80" fillId="71" borderId="24" xfId="0" applyNumberFormat="1" applyFont="1" applyFill="1" applyBorder="1" applyAlignment="1">
      <alignment horizontal="right" wrapText="1"/>
    </xf>
    <xf numFmtId="0" fontId="9" fillId="42" borderId="26" xfId="0" applyFont="1" applyFill="1" applyBorder="1" applyAlignment="1">
      <alignment wrapText="1"/>
    </xf>
    <xf numFmtId="13" fontId="15" fillId="0" borderId="1" xfId="0" applyNumberFormat="1" applyFont="1" applyBorder="1" applyAlignment="1">
      <alignment wrapText="1"/>
    </xf>
    <xf numFmtId="0" fontId="2" fillId="0" borderId="24" xfId="0" applyFont="1" applyBorder="1" applyAlignment="1">
      <alignment wrapText="1"/>
    </xf>
    <xf numFmtId="1" fontId="9" fillId="0" borderId="24" xfId="0" applyNumberFormat="1" applyFont="1" applyBorder="1" applyAlignment="1">
      <alignment wrapText="1"/>
    </xf>
    <xf numFmtId="166" fontId="9" fillId="0" borderId="24" xfId="0" applyNumberFormat="1" applyFont="1" applyBorder="1" applyAlignment="1">
      <alignment horizontal="right" wrapText="1"/>
    </xf>
    <xf numFmtId="0" fontId="78" fillId="0" borderId="0" xfId="0" applyFont="1"/>
    <xf numFmtId="3" fontId="9" fillId="73" borderId="24" xfId="0" applyNumberFormat="1" applyFont="1" applyFill="1" applyBorder="1" applyAlignment="1">
      <alignment horizontal="center" wrapText="1"/>
    </xf>
    <xf numFmtId="0" fontId="86" fillId="0" borderId="41" xfId="0" applyFont="1" applyBorder="1"/>
    <xf numFmtId="3" fontId="14" fillId="8" borderId="39" xfId="0" applyNumberFormat="1" applyFont="1" applyFill="1" applyBorder="1"/>
    <xf numFmtId="3" fontId="14" fillId="8" borderId="17" xfId="0" applyNumberFormat="1" applyFont="1" applyFill="1" applyBorder="1"/>
    <xf numFmtId="0" fontId="0" fillId="0" borderId="0" xfId="0" applyAlignment="1">
      <alignment horizontal="center"/>
    </xf>
    <xf numFmtId="0" fontId="24" fillId="0" borderId="24" xfId="0" applyFont="1" applyBorder="1" applyAlignment="1">
      <alignment horizontal="right"/>
    </xf>
    <xf numFmtId="0" fontId="0" fillId="0" borderId="24" xfId="0" applyBorder="1" applyAlignment="1">
      <alignment horizontal="right"/>
    </xf>
    <xf numFmtId="0" fontId="1" fillId="0" borderId="24" xfId="0" applyFont="1" applyBorder="1" applyAlignment="1">
      <alignment horizontal="right"/>
    </xf>
    <xf numFmtId="3" fontId="26" fillId="57" borderId="24" xfId="0" applyNumberFormat="1" applyFont="1" applyFill="1" applyBorder="1" applyAlignment="1">
      <alignment horizontal="right" wrapText="1"/>
    </xf>
    <xf numFmtId="0" fontId="26" fillId="0" borderId="24" xfId="0" applyFont="1" applyBorder="1" applyAlignment="1">
      <alignment horizontal="left" wrapText="1"/>
    </xf>
    <xf numFmtId="0" fontId="10" fillId="0" borderId="24" xfId="0" applyFont="1" applyBorder="1" applyAlignment="1">
      <alignment vertical="center" wrapText="1"/>
    </xf>
    <xf numFmtId="3" fontId="26" fillId="0" borderId="24" xfId="0" applyNumberFormat="1" applyFont="1" applyBorder="1" applyAlignment="1">
      <alignment horizontal="right" wrapText="1"/>
    </xf>
    <xf numFmtId="17" fontId="9" fillId="71" borderId="24" xfId="0" applyNumberFormat="1" applyFont="1" applyFill="1" applyBorder="1" applyAlignment="1">
      <alignment horizontal="center" wrapText="1"/>
    </xf>
    <xf numFmtId="0" fontId="18" fillId="104" borderId="6" xfId="7" applyFont="1" applyFill="1" applyBorder="1"/>
    <xf numFmtId="0" fontId="21" fillId="104" borderId="6" xfId="7" applyFont="1" applyFill="1" applyBorder="1" applyAlignment="1">
      <alignment horizontal="center" wrapText="1"/>
    </xf>
    <xf numFmtId="0" fontId="21" fillId="104" borderId="9" xfId="7" applyFont="1" applyFill="1" applyBorder="1" applyAlignment="1">
      <alignment horizontal="center" wrapText="1"/>
    </xf>
    <xf numFmtId="0" fontId="10" fillId="72" borderId="24" xfId="0" applyFont="1" applyFill="1" applyBorder="1" applyAlignment="1">
      <alignment wrapText="1"/>
    </xf>
    <xf numFmtId="17" fontId="9" fillId="53" borderId="24" xfId="0" applyNumberFormat="1" applyFont="1" applyFill="1" applyBorder="1" applyAlignment="1">
      <alignment wrapText="1"/>
    </xf>
    <xf numFmtId="0" fontId="53" fillId="25" borderId="24" xfId="6" applyFont="1" applyFill="1" applyBorder="1" applyAlignment="1">
      <alignment wrapText="1"/>
    </xf>
    <xf numFmtId="0" fontId="84" fillId="0" borderId="22" xfId="5" applyFont="1" applyBorder="1" applyAlignment="1">
      <alignment wrapText="1"/>
    </xf>
    <xf numFmtId="0" fontId="88" fillId="25" borderId="22" xfId="5" applyFont="1" applyFill="1" applyBorder="1" applyAlignment="1">
      <alignment wrapText="1"/>
    </xf>
    <xf numFmtId="17" fontId="52" fillId="0" borderId="4" xfId="0" applyNumberFormat="1" applyFont="1" applyBorder="1"/>
    <xf numFmtId="3" fontId="10" fillId="62" borderId="25" xfId="0" applyNumberFormat="1" applyFont="1" applyFill="1" applyBorder="1" applyAlignment="1">
      <alignment wrapText="1"/>
    </xf>
    <xf numFmtId="0" fontId="85" fillId="95" borderId="22" xfId="5" applyFont="1" applyFill="1" applyBorder="1" applyAlignment="1">
      <alignment wrapText="1"/>
    </xf>
    <xf numFmtId="0" fontId="8" fillId="0" borderId="24" xfId="0" applyFont="1" applyBorder="1" applyAlignment="1">
      <alignment wrapText="1"/>
    </xf>
    <xf numFmtId="1" fontId="9" fillId="0" borderId="24" xfId="0" applyNumberFormat="1" applyFont="1" applyBorder="1" applyAlignment="1">
      <alignment horizontal="center" wrapText="1"/>
    </xf>
    <xf numFmtId="0" fontId="21" fillId="0" borderId="24" xfId="0" applyFont="1" applyBorder="1" applyAlignment="1">
      <alignment horizontal="center" wrapText="1"/>
    </xf>
    <xf numFmtId="14" fontId="49" fillId="0" borderId="24" xfId="0" applyNumberFormat="1" applyFont="1" applyBorder="1" applyAlignment="1">
      <alignment horizontal="right"/>
    </xf>
    <xf numFmtId="165" fontId="8" fillId="3" borderId="24" xfId="0" applyNumberFormat="1" applyFont="1" applyFill="1" applyBorder="1" applyAlignment="1">
      <alignment horizontal="center" wrapText="1"/>
    </xf>
    <xf numFmtId="0" fontId="2" fillId="10" borderId="6" xfId="0" applyFont="1" applyFill="1" applyBorder="1" applyAlignment="1">
      <alignment horizontal="left" wrapText="1"/>
    </xf>
    <xf numFmtId="0" fontId="4" fillId="10" borderId="9" xfId="0" applyFont="1" applyFill="1" applyBorder="1" applyAlignment="1">
      <alignment wrapText="1"/>
    </xf>
    <xf numFmtId="165" fontId="21" fillId="51" borderId="24" xfId="4" applyNumberFormat="1" applyFont="1" applyFill="1" applyBorder="1" applyAlignment="1">
      <alignment horizontal="center" wrapText="1"/>
    </xf>
    <xf numFmtId="0" fontId="91" fillId="8" borderId="24" xfId="1" applyFont="1" applyFill="1" applyBorder="1" applyAlignment="1">
      <alignment wrapText="1"/>
    </xf>
    <xf numFmtId="0" fontId="11" fillId="0" borderId="24" xfId="1" applyFont="1" applyBorder="1" applyAlignment="1">
      <alignment wrapText="1"/>
    </xf>
    <xf numFmtId="0" fontId="9" fillId="0" borderId="25" xfId="0" applyFont="1" applyBorder="1"/>
    <xf numFmtId="0" fontId="2" fillId="10" borderId="8" xfId="0" applyFont="1" applyFill="1" applyBorder="1" applyAlignment="1">
      <alignment horizontal="left" wrapText="1"/>
    </xf>
    <xf numFmtId="0" fontId="5" fillId="10" borderId="6" xfId="0" applyFont="1" applyFill="1" applyBorder="1" applyAlignment="1">
      <alignment wrapText="1"/>
    </xf>
    <xf numFmtId="0" fontId="10" fillId="42" borderId="31" xfId="0" applyFont="1" applyFill="1" applyBorder="1" applyAlignment="1">
      <alignment wrapText="1"/>
    </xf>
    <xf numFmtId="0" fontId="10" fillId="8" borderId="12" xfId="0" applyFont="1" applyFill="1" applyBorder="1" applyAlignment="1">
      <alignment wrapText="1"/>
    </xf>
    <xf numFmtId="14" fontId="9" fillId="8" borderId="4" xfId="0" applyNumberFormat="1" applyFont="1" applyFill="1" applyBorder="1" applyAlignment="1">
      <alignment horizontal="right" wrapText="1"/>
    </xf>
    <xf numFmtId="0" fontId="9" fillId="11" borderId="4" xfId="0" applyFont="1" applyFill="1" applyBorder="1" applyAlignment="1">
      <alignment wrapText="1"/>
    </xf>
    <xf numFmtId="3" fontId="9" fillId="8" borderId="4" xfId="0" applyNumberFormat="1" applyFont="1" applyFill="1" applyBorder="1" applyAlignment="1">
      <alignment horizontal="right" wrapText="1"/>
    </xf>
    <xf numFmtId="2" fontId="9" fillId="8" borderId="4" xfId="0" applyNumberFormat="1" applyFont="1" applyFill="1" applyBorder="1" applyAlignment="1">
      <alignment horizontal="right" wrapText="1"/>
    </xf>
    <xf numFmtId="4" fontId="10" fillId="74" borderId="24" xfId="0" applyNumberFormat="1" applyFont="1" applyFill="1" applyBorder="1" applyAlignment="1">
      <alignment wrapText="1"/>
    </xf>
    <xf numFmtId="4" fontId="10" fillId="5" borderId="24" xfId="0" applyNumberFormat="1" applyFont="1" applyFill="1" applyBorder="1" applyAlignment="1">
      <alignment wrapText="1"/>
    </xf>
    <xf numFmtId="4" fontId="10" fillId="9" borderId="24" xfId="0" applyNumberFormat="1" applyFont="1" applyFill="1" applyBorder="1" applyAlignment="1">
      <alignment wrapText="1"/>
    </xf>
    <xf numFmtId="4" fontId="10" fillId="11" borderId="24" xfId="0" applyNumberFormat="1" applyFont="1" applyFill="1" applyBorder="1" applyAlignment="1">
      <alignment wrapText="1"/>
    </xf>
    <xf numFmtId="4" fontId="10" fillId="8" borderId="24" xfId="0" applyNumberFormat="1" applyFont="1" applyFill="1" applyBorder="1" applyAlignment="1">
      <alignment wrapText="1"/>
    </xf>
    <xf numFmtId="0" fontId="10" fillId="57" borderId="24" xfId="0" applyFont="1" applyFill="1" applyBorder="1" applyAlignment="1">
      <alignment wrapText="1"/>
    </xf>
    <xf numFmtId="4" fontId="10" fillId="26" borderId="24" xfId="0" applyNumberFormat="1" applyFont="1" applyFill="1" applyBorder="1" applyAlignment="1">
      <alignment wrapText="1"/>
    </xf>
    <xf numFmtId="4" fontId="10" fillId="35" borderId="24" xfId="0" applyNumberFormat="1" applyFont="1" applyFill="1" applyBorder="1" applyAlignment="1">
      <alignment wrapText="1"/>
    </xf>
    <xf numFmtId="4" fontId="10" fillId="37" borderId="24" xfId="0" applyNumberFormat="1" applyFont="1" applyFill="1" applyBorder="1" applyAlignment="1">
      <alignment wrapText="1"/>
    </xf>
    <xf numFmtId="4" fontId="10" fillId="11" borderId="31" xfId="0" applyNumberFormat="1" applyFont="1" applyFill="1" applyBorder="1" applyAlignment="1">
      <alignment wrapText="1"/>
    </xf>
    <xf numFmtId="4" fontId="10" fillId="67" borderId="24" xfId="0" applyNumberFormat="1" applyFont="1" applyFill="1" applyBorder="1" applyAlignment="1">
      <alignment wrapText="1"/>
    </xf>
    <xf numFmtId="4" fontId="10" fillId="0" borderId="4" xfId="0" applyNumberFormat="1" applyFont="1" applyBorder="1" applyAlignment="1">
      <alignment wrapText="1"/>
    </xf>
    <xf numFmtId="4" fontId="10" fillId="34" borderId="24" xfId="0" applyNumberFormat="1" applyFont="1" applyFill="1" applyBorder="1" applyAlignment="1">
      <alignment wrapText="1"/>
    </xf>
    <xf numFmtId="4" fontId="53" fillId="0" borderId="24" xfId="6" applyNumberFormat="1" applyFont="1" applyFill="1" applyBorder="1" applyAlignment="1">
      <alignment wrapText="1"/>
    </xf>
    <xf numFmtId="4" fontId="10" fillId="71" borderId="24" xfId="0" applyNumberFormat="1" applyFont="1" applyFill="1" applyBorder="1" applyAlignment="1">
      <alignment wrapText="1"/>
    </xf>
    <xf numFmtId="4" fontId="10" fillId="8" borderId="6" xfId="0" applyNumberFormat="1" applyFont="1" applyFill="1" applyBorder="1" applyAlignment="1">
      <alignment wrapText="1"/>
    </xf>
    <xf numFmtId="43" fontId="9" fillId="0" borderId="24" xfId="4" applyFont="1" applyBorder="1"/>
    <xf numFmtId="43" fontId="9" fillId="0" borderId="24" xfId="4" applyFont="1" applyBorder="1" applyAlignment="1">
      <alignment wrapText="1"/>
    </xf>
    <xf numFmtId="165" fontId="9" fillId="28" borderId="24" xfId="4" applyNumberFormat="1" applyFont="1" applyFill="1" applyBorder="1"/>
    <xf numFmtId="165" fontId="9" fillId="0" borderId="24" xfId="4" applyNumberFormat="1" applyFont="1" applyBorder="1"/>
    <xf numFmtId="165" fontId="9" fillId="4" borderId="24" xfId="4" applyNumberFormat="1" applyFont="1" applyFill="1" applyBorder="1"/>
    <xf numFmtId="165" fontId="9" fillId="4" borderId="24" xfId="4" applyNumberFormat="1" applyFont="1" applyFill="1" applyBorder="1" applyAlignment="1">
      <alignment wrapText="1"/>
    </xf>
    <xf numFmtId="165" fontId="9" fillId="3" borderId="24" xfId="4" applyNumberFormat="1" applyFont="1" applyFill="1" applyBorder="1" applyAlignment="1">
      <alignment wrapText="1"/>
    </xf>
    <xf numFmtId="165" fontId="9" fillId="28" borderId="24" xfId="4" applyNumberFormat="1" applyFont="1" applyFill="1" applyBorder="1" applyAlignment="1">
      <alignment wrapText="1"/>
    </xf>
    <xf numFmtId="165" fontId="9" fillId="0" borderId="24" xfId="4" applyNumberFormat="1" applyFont="1" applyBorder="1" applyAlignment="1">
      <alignment wrapText="1"/>
    </xf>
    <xf numFmtId="165" fontId="9" fillId="22" borderId="24" xfId="4" applyNumberFormat="1" applyFont="1" applyFill="1" applyBorder="1"/>
    <xf numFmtId="165" fontId="9" fillId="8" borderId="24" xfId="4" applyNumberFormat="1" applyFont="1" applyFill="1" applyBorder="1"/>
    <xf numFmtId="165" fontId="9" fillId="3" borderId="24" xfId="4" applyNumberFormat="1" applyFont="1" applyFill="1" applyBorder="1"/>
    <xf numFmtId="165" fontId="9" fillId="4" borderId="24" xfId="4" applyNumberFormat="1" applyFont="1" applyFill="1" applyBorder="1" applyAlignment="1">
      <alignment horizontal="right" wrapText="1"/>
    </xf>
    <xf numFmtId="165" fontId="9" fillId="4" borderId="6" xfId="4" applyNumberFormat="1" applyFont="1" applyFill="1" applyBorder="1" applyAlignment="1">
      <alignment wrapText="1"/>
    </xf>
    <xf numFmtId="165" fontId="9" fillId="5" borderId="24" xfId="4" applyNumberFormat="1" applyFont="1" applyFill="1" applyBorder="1" applyAlignment="1">
      <alignment horizontal="right" wrapText="1"/>
    </xf>
    <xf numFmtId="165" fontId="9" fillId="9" borderId="24" xfId="4" applyNumberFormat="1" applyFont="1" applyFill="1" applyBorder="1"/>
    <xf numFmtId="165" fontId="9" fillId="0" borderId="25" xfId="4" applyNumberFormat="1" applyFont="1" applyBorder="1" applyAlignment="1">
      <alignment wrapText="1"/>
    </xf>
    <xf numFmtId="165" fontId="9" fillId="4" borderId="24" xfId="4" applyNumberFormat="1" applyFont="1" applyFill="1" applyBorder="1" applyAlignment="1">
      <alignment horizontal="center" wrapText="1"/>
    </xf>
    <xf numFmtId="165" fontId="9" fillId="73" borderId="24" xfId="4" applyNumberFormat="1" applyFont="1" applyFill="1" applyBorder="1" applyAlignment="1">
      <alignment wrapText="1"/>
    </xf>
    <xf numFmtId="165" fontId="9" fillId="68" borderId="1" xfId="4" applyNumberFormat="1" applyFont="1" applyFill="1" applyBorder="1" applyAlignment="1">
      <alignment wrapText="1"/>
    </xf>
    <xf numFmtId="165" fontId="9" fillId="68" borderId="24" xfId="4" applyNumberFormat="1" applyFont="1" applyFill="1" applyBorder="1" applyAlignment="1">
      <alignment wrapText="1"/>
    </xf>
    <xf numFmtId="165" fontId="9" fillId="0" borderId="31" xfId="4" applyNumberFormat="1" applyFont="1" applyBorder="1" applyAlignment="1">
      <alignment wrapText="1"/>
    </xf>
    <xf numFmtId="165" fontId="9" fillId="65" borderId="24" xfId="4" applyNumberFormat="1" applyFont="1" applyFill="1" applyBorder="1"/>
    <xf numFmtId="165" fontId="9" fillId="3" borderId="4" xfId="4" applyNumberFormat="1" applyFont="1" applyFill="1" applyBorder="1"/>
    <xf numFmtId="165" fontId="9" fillId="8" borderId="24" xfId="4" applyNumberFormat="1" applyFont="1" applyFill="1" applyBorder="1" applyAlignment="1">
      <alignment wrapText="1"/>
    </xf>
    <xf numFmtId="165" fontId="9" fillId="56" borderId="24" xfId="4" applyNumberFormat="1" applyFont="1" applyFill="1" applyBorder="1"/>
    <xf numFmtId="165" fontId="9" fillId="36" borderId="24" xfId="4" applyNumberFormat="1" applyFont="1" applyFill="1" applyBorder="1" applyAlignment="1">
      <alignment wrapText="1"/>
    </xf>
    <xf numFmtId="165" fontId="9" fillId="9" borderId="24" xfId="4" applyNumberFormat="1" applyFont="1" applyFill="1" applyBorder="1" applyAlignment="1">
      <alignment wrapText="1"/>
    </xf>
    <xf numFmtId="165" fontId="53" fillId="0" borderId="24" xfId="4" applyNumberFormat="1" applyFont="1" applyFill="1" applyBorder="1" applyAlignment="1">
      <alignment wrapText="1"/>
    </xf>
    <xf numFmtId="165" fontId="24" fillId="0" borderId="24" xfId="4" applyNumberFormat="1" applyFont="1" applyBorder="1"/>
    <xf numFmtId="165" fontId="9" fillId="4" borderId="31" xfId="4" applyNumberFormat="1" applyFont="1" applyFill="1" applyBorder="1" applyAlignment="1">
      <alignment wrapText="1"/>
    </xf>
    <xf numFmtId="165" fontId="9" fillId="8" borderId="6" xfId="4" applyNumberFormat="1" applyFont="1" applyFill="1" applyBorder="1" applyAlignment="1">
      <alignment wrapText="1"/>
    </xf>
    <xf numFmtId="165" fontId="9" fillId="4" borderId="6" xfId="4" applyNumberFormat="1" applyFont="1" applyFill="1" applyBorder="1"/>
    <xf numFmtId="165" fontId="9" fillId="8" borderId="11" xfId="4" applyNumberFormat="1" applyFont="1" applyFill="1" applyBorder="1" applyAlignment="1">
      <alignment wrapText="1"/>
    </xf>
    <xf numFmtId="165" fontId="9" fillId="8" borderId="1" xfId="4" applyNumberFormat="1" applyFont="1" applyFill="1" applyBorder="1" applyAlignment="1">
      <alignment wrapText="1"/>
    </xf>
    <xf numFmtId="165" fontId="9" fillId="8" borderId="6" xfId="4" applyNumberFormat="1" applyFont="1" applyFill="1" applyBorder="1"/>
    <xf numFmtId="165" fontId="9" fillId="3" borderId="6" xfId="4" applyNumberFormat="1" applyFont="1" applyFill="1" applyBorder="1"/>
    <xf numFmtId="165" fontId="9" fillId="8" borderId="4" xfId="4" applyNumberFormat="1" applyFont="1" applyFill="1" applyBorder="1" applyAlignment="1">
      <alignment wrapText="1"/>
    </xf>
    <xf numFmtId="165" fontId="9" fillId="5" borderId="24" xfId="4" applyNumberFormat="1" applyFont="1" applyFill="1" applyBorder="1" applyAlignment="1">
      <alignment wrapText="1"/>
    </xf>
    <xf numFmtId="165" fontId="9" fillId="5" borderId="24" xfId="4" applyNumberFormat="1" applyFont="1" applyFill="1" applyBorder="1"/>
    <xf numFmtId="0" fontId="4" fillId="10" borderId="24" xfId="0" applyFont="1" applyFill="1" applyBorder="1" applyAlignment="1">
      <alignment horizontal="center" wrapText="1"/>
    </xf>
    <xf numFmtId="165" fontId="9" fillId="4" borderId="11" xfId="0" applyNumberFormat="1" applyFont="1" applyFill="1" applyBorder="1" applyAlignment="1">
      <alignment horizontal="center" wrapText="1"/>
    </xf>
    <xf numFmtId="0" fontId="50" fillId="42" borderId="31" xfId="0" applyFont="1" applyFill="1" applyBorder="1"/>
    <xf numFmtId="0" fontId="50" fillId="42" borderId="31" xfId="0" applyFont="1" applyFill="1" applyBorder="1" applyAlignment="1">
      <alignment horizontal="center"/>
    </xf>
    <xf numFmtId="14" fontId="49" fillId="57" borderId="32" xfId="5" applyNumberFormat="1" applyFont="1" applyFill="1" applyBorder="1" applyAlignment="1">
      <alignment wrapText="1"/>
    </xf>
    <xf numFmtId="0" fontId="50" fillId="70" borderId="31" xfId="0" applyFont="1" applyFill="1" applyBorder="1"/>
    <xf numFmtId="3" fontId="9" fillId="4" borderId="31" xfId="0" applyNumberFormat="1" applyFont="1" applyFill="1" applyBorder="1" applyAlignment="1">
      <alignment horizontal="right" wrapText="1"/>
    </xf>
    <xf numFmtId="4" fontId="10" fillId="37" borderId="31" xfId="0" applyNumberFormat="1" applyFont="1" applyFill="1" applyBorder="1" applyAlignment="1">
      <alignment wrapText="1"/>
    </xf>
    <xf numFmtId="0" fontId="50" fillId="26" borderId="31" xfId="0" applyFont="1" applyFill="1" applyBorder="1" applyAlignment="1">
      <alignment wrapText="1"/>
    </xf>
    <xf numFmtId="0" fontId="9" fillId="9" borderId="11" xfId="0" applyFont="1" applyFill="1" applyBorder="1" applyAlignment="1">
      <alignment wrapText="1"/>
    </xf>
    <xf numFmtId="0" fontId="9" fillId="9" borderId="11" xfId="0" applyFont="1" applyFill="1" applyBorder="1"/>
    <xf numFmtId="0" fontId="2" fillId="10" borderId="24" xfId="0" applyFont="1" applyFill="1" applyBorder="1" applyAlignment="1">
      <alignment horizontal="center" wrapText="1"/>
    </xf>
    <xf numFmtId="14" fontId="49" fillId="57" borderId="24" xfId="5" applyNumberFormat="1" applyFont="1" applyFill="1" applyBorder="1" applyAlignment="1">
      <alignment wrapText="1"/>
    </xf>
    <xf numFmtId="0" fontId="53" fillId="71" borderId="24" xfId="6" applyFont="1" applyFill="1" applyBorder="1" applyAlignment="1">
      <alignment wrapText="1"/>
    </xf>
    <xf numFmtId="3" fontId="53" fillId="70" borderId="24" xfId="6" applyNumberFormat="1" applyFont="1" applyFill="1" applyBorder="1" applyAlignment="1">
      <alignment horizontal="right" wrapText="1"/>
    </xf>
    <xf numFmtId="4" fontId="53" fillId="71" borderId="24" xfId="6" applyNumberFormat="1" applyFont="1" applyFill="1" applyBorder="1" applyAlignment="1">
      <alignment wrapText="1"/>
    </xf>
    <xf numFmtId="0" fontId="47" fillId="0" borderId="24" xfId="1" applyFont="1" applyBorder="1" applyAlignment="1">
      <alignment wrapText="1"/>
    </xf>
    <xf numFmtId="0" fontId="47" fillId="8" borderId="24" xfId="1" applyFont="1" applyFill="1" applyBorder="1" applyAlignment="1">
      <alignment wrapText="1"/>
    </xf>
    <xf numFmtId="0" fontId="48" fillId="0" borderId="24" xfId="1" applyFont="1" applyBorder="1" applyAlignment="1">
      <alignment wrapText="1"/>
    </xf>
    <xf numFmtId="0" fontId="48" fillId="8" borderId="24" xfId="1" applyFont="1" applyFill="1" applyBorder="1" applyAlignment="1">
      <alignment wrapText="1"/>
    </xf>
    <xf numFmtId="0" fontId="47" fillId="8" borderId="6" xfId="1" applyFont="1" applyFill="1" applyBorder="1" applyAlignment="1">
      <alignment wrapText="1"/>
    </xf>
    <xf numFmtId="0" fontId="47" fillId="42" borderId="24" xfId="1" applyFont="1" applyFill="1" applyBorder="1" applyAlignment="1">
      <alignment wrapText="1"/>
    </xf>
    <xf numFmtId="0" fontId="47" fillId="9" borderId="24" xfId="1" applyFont="1" applyFill="1" applyBorder="1" applyAlignment="1">
      <alignment wrapText="1"/>
    </xf>
    <xf numFmtId="0" fontId="9" fillId="0" borderId="24" xfId="6" applyFont="1" applyFill="1" applyBorder="1" applyAlignment="1">
      <alignment wrapText="1"/>
    </xf>
    <xf numFmtId="0" fontId="47" fillId="8" borderId="11" xfId="0" applyFont="1" applyFill="1" applyBorder="1" applyAlignment="1">
      <alignment wrapText="1"/>
    </xf>
    <xf numFmtId="0" fontId="92" fillId="8" borderId="6" xfId="0" applyFont="1" applyFill="1" applyBorder="1" applyAlignment="1">
      <alignment wrapText="1"/>
    </xf>
    <xf numFmtId="0" fontId="0" fillId="0" borderId="7" xfId="0" applyBorder="1"/>
    <xf numFmtId="0" fontId="47" fillId="66" borderId="24" xfId="0" applyFont="1" applyFill="1" applyBorder="1" applyAlignment="1">
      <alignment wrapText="1"/>
    </xf>
    <xf numFmtId="0" fontId="48" fillId="42" borderId="24" xfId="1" applyFont="1" applyFill="1" applyBorder="1" applyAlignment="1">
      <alignment wrapText="1"/>
    </xf>
    <xf numFmtId="168" fontId="50" fillId="57" borderId="24" xfId="6" applyNumberFormat="1" applyFont="1" applyFill="1" applyBorder="1" applyAlignment="1">
      <alignment wrapText="1"/>
    </xf>
    <xf numFmtId="14" fontId="9" fillId="0" borderId="24" xfId="0" applyNumberFormat="1" applyFont="1" applyBorder="1"/>
    <xf numFmtId="3" fontId="9" fillId="9" borderId="24" xfId="0" applyNumberFormat="1" applyFont="1" applyFill="1" applyBorder="1"/>
    <xf numFmtId="0" fontId="9" fillId="8" borderId="15" xfId="0" applyFont="1" applyFill="1" applyBorder="1" applyAlignment="1">
      <alignment wrapText="1"/>
    </xf>
    <xf numFmtId="3" fontId="9" fillId="77" borderId="24" xfId="0" applyNumberFormat="1" applyFont="1" applyFill="1" applyBorder="1" applyAlignment="1">
      <alignment wrapText="1"/>
    </xf>
    <xf numFmtId="165" fontId="9" fillId="70" borderId="24" xfId="0" applyNumberFormat="1" applyFont="1" applyFill="1" applyBorder="1" applyAlignment="1">
      <alignment wrapText="1"/>
    </xf>
    <xf numFmtId="3" fontId="9" fillId="94" borderId="24" xfId="0" applyNumberFormat="1" applyFont="1" applyFill="1" applyBorder="1" applyAlignment="1">
      <alignment wrapText="1"/>
    </xf>
    <xf numFmtId="165" fontId="9" fillId="70" borderId="24" xfId="4" applyNumberFormat="1" applyFont="1" applyFill="1" applyBorder="1" applyAlignment="1">
      <alignment wrapText="1"/>
    </xf>
    <xf numFmtId="3" fontId="9" fillId="109" borderId="24" xfId="0" applyNumberFormat="1" applyFont="1" applyFill="1" applyBorder="1" applyAlignment="1">
      <alignment wrapText="1"/>
    </xf>
    <xf numFmtId="0" fontId="9" fillId="109" borderId="24" xfId="0" applyFont="1" applyFill="1" applyBorder="1" applyAlignment="1">
      <alignment wrapText="1"/>
    </xf>
    <xf numFmtId="4" fontId="10" fillId="53" borderId="24" xfId="0" applyNumberFormat="1" applyFont="1" applyFill="1" applyBorder="1" applyAlignment="1">
      <alignment wrapText="1"/>
    </xf>
    <xf numFmtId="3" fontId="9" fillId="29" borderId="24" xfId="0" applyNumberFormat="1" applyFont="1" applyFill="1" applyBorder="1" applyAlignment="1">
      <alignment wrapText="1"/>
    </xf>
    <xf numFmtId="3" fontId="90" fillId="57" borderId="24" xfId="5" applyNumberFormat="1" applyFont="1" applyFill="1" applyBorder="1" applyAlignment="1">
      <alignment wrapText="1"/>
    </xf>
    <xf numFmtId="3" fontId="90" fillId="57" borderId="32" xfId="5" applyNumberFormat="1" applyFont="1" applyFill="1" applyBorder="1" applyAlignment="1">
      <alignment wrapText="1"/>
    </xf>
    <xf numFmtId="3" fontId="9" fillId="46" borderId="24" xfId="0" applyNumberFormat="1" applyFont="1" applyFill="1" applyBorder="1" applyAlignment="1">
      <alignment wrapText="1"/>
    </xf>
    <xf numFmtId="3" fontId="90" fillId="57" borderId="22" xfId="5" applyNumberFormat="1" applyFont="1" applyFill="1" applyBorder="1" applyAlignment="1">
      <alignment wrapText="1"/>
    </xf>
    <xf numFmtId="3" fontId="9" fillId="57" borderId="22" xfId="5" applyNumberFormat="1" applyFont="1" applyFill="1" applyBorder="1" applyAlignment="1">
      <alignment wrapText="1"/>
    </xf>
    <xf numFmtId="3" fontId="9" fillId="82" borderId="22" xfId="5" applyNumberFormat="1" applyFont="1" applyFill="1" applyBorder="1" applyAlignment="1">
      <alignment wrapText="1"/>
    </xf>
    <xf numFmtId="3" fontId="9" fillId="97" borderId="24" xfId="0" applyNumberFormat="1" applyFont="1" applyFill="1" applyBorder="1" applyAlignment="1">
      <alignment wrapText="1"/>
    </xf>
    <xf numFmtId="3" fontId="9" fillId="57" borderId="24" xfId="5" applyNumberFormat="1" applyFont="1" applyFill="1" applyBorder="1" applyAlignment="1">
      <alignment wrapText="1"/>
    </xf>
    <xf numFmtId="3" fontId="9" fillId="0" borderId="24" xfId="5" applyNumberFormat="1" applyFont="1" applyBorder="1" applyAlignment="1">
      <alignment wrapText="1"/>
    </xf>
    <xf numFmtId="0" fontId="50" fillId="42" borderId="43" xfId="0" applyFont="1" applyFill="1" applyBorder="1"/>
    <xf numFmtId="0" fontId="49" fillId="0" borderId="33" xfId="5" applyFont="1" applyBorder="1" applyAlignment="1">
      <alignment wrapText="1"/>
    </xf>
    <xf numFmtId="0" fontId="9" fillId="72" borderId="9" xfId="0" applyFont="1" applyFill="1" applyBorder="1" applyAlignment="1">
      <alignment wrapText="1"/>
    </xf>
    <xf numFmtId="0" fontId="9" fillId="59" borderId="26" xfId="0" applyFont="1" applyFill="1" applyBorder="1" applyAlignment="1">
      <alignment wrapText="1"/>
    </xf>
    <xf numFmtId="0" fontId="9" fillId="47" borderId="26" xfId="0" applyFont="1" applyFill="1" applyBorder="1" applyAlignment="1">
      <alignment wrapText="1"/>
    </xf>
    <xf numFmtId="0" fontId="9" fillId="74" borderId="26" xfId="0" applyFont="1" applyFill="1" applyBorder="1" applyAlignment="1">
      <alignment wrapText="1"/>
    </xf>
    <xf numFmtId="0" fontId="9" fillId="5" borderId="26" xfId="0" applyFont="1" applyFill="1" applyBorder="1" applyAlignment="1">
      <alignment wrapText="1"/>
    </xf>
    <xf numFmtId="0" fontId="50" fillId="0" borderId="26" xfId="6" applyFont="1" applyFill="1" applyBorder="1"/>
    <xf numFmtId="0" fontId="50" fillId="0" borderId="44" xfId="0" applyFont="1" applyBorder="1"/>
    <xf numFmtId="0" fontId="9" fillId="0" borderId="44" xfId="0" applyFont="1" applyBorder="1" applyAlignment="1">
      <alignment wrapText="1"/>
    </xf>
    <xf numFmtId="3" fontId="9" fillId="3" borderId="7" xfId="0" applyNumberFormat="1" applyFont="1" applyFill="1" applyBorder="1" applyAlignment="1">
      <alignment wrapText="1"/>
    </xf>
    <xf numFmtId="0" fontId="9" fillId="0" borderId="23" xfId="0" applyFont="1" applyBorder="1"/>
    <xf numFmtId="0" fontId="9" fillId="83" borderId="23" xfId="0" applyFont="1" applyFill="1" applyBorder="1"/>
    <xf numFmtId="0" fontId="9" fillId="9" borderId="23" xfId="0" applyFont="1" applyFill="1" applyBorder="1" applyAlignment="1">
      <alignment wrapText="1"/>
    </xf>
    <xf numFmtId="0" fontId="9" fillId="3" borderId="23" xfId="0" applyFont="1" applyFill="1" applyBorder="1"/>
    <xf numFmtId="0" fontId="53" fillId="0" borderId="23" xfId="6" applyFont="1" applyFill="1" applyBorder="1"/>
    <xf numFmtId="0" fontId="53" fillId="88" borderId="23" xfId="6" applyFont="1" applyBorder="1"/>
    <xf numFmtId="3" fontId="90" fillId="57" borderId="24" xfId="0" applyNumberFormat="1" applyFont="1" applyFill="1" applyBorder="1" applyAlignment="1">
      <alignment wrapText="1"/>
    </xf>
    <xf numFmtId="168" fontId="9" fillId="23" borderId="24" xfId="0" applyNumberFormat="1" applyFont="1" applyFill="1" applyBorder="1" applyAlignment="1">
      <alignment wrapText="1"/>
    </xf>
    <xf numFmtId="0" fontId="53" fillId="8" borderId="31" xfId="0" applyFont="1" applyFill="1" applyBorder="1" applyAlignment="1">
      <alignment wrapText="1"/>
    </xf>
    <xf numFmtId="0" fontId="77" fillId="25" borderId="24" xfId="0" applyFont="1" applyFill="1" applyBorder="1" applyAlignment="1">
      <alignment wrapText="1"/>
    </xf>
    <xf numFmtId="0" fontId="9" fillId="8" borderId="12" xfId="0" applyFont="1" applyFill="1" applyBorder="1" applyAlignment="1">
      <alignment vertical="center" wrapText="1"/>
    </xf>
    <xf numFmtId="164" fontId="9" fillId="11" borderId="4" xfId="0" applyNumberFormat="1" applyFont="1" applyFill="1" applyBorder="1" applyAlignment="1">
      <alignment wrapText="1"/>
    </xf>
    <xf numFmtId="164" fontId="9" fillId="11" borderId="24" xfId="0" applyNumberFormat="1" applyFont="1" applyFill="1" applyBorder="1" applyAlignment="1">
      <alignment wrapText="1"/>
    </xf>
    <xf numFmtId="165" fontId="9" fillId="8" borderId="11" xfId="4" applyNumberFormat="1" applyFont="1" applyFill="1" applyBorder="1"/>
    <xf numFmtId="0" fontId="10" fillId="24" borderId="7" xfId="0" applyFont="1" applyFill="1" applyBorder="1" applyAlignment="1">
      <alignment wrapText="1"/>
    </xf>
    <xf numFmtId="3" fontId="9" fillId="4" borderId="11" xfId="0" applyNumberFormat="1" applyFont="1" applyFill="1" applyBorder="1"/>
    <xf numFmtId="3" fontId="9" fillId="3" borderId="11" xfId="0" applyNumberFormat="1" applyFont="1" applyFill="1" applyBorder="1" applyAlignment="1">
      <alignment wrapText="1"/>
    </xf>
    <xf numFmtId="0" fontId="0" fillId="0" borderId="23" xfId="0" applyBorder="1"/>
    <xf numFmtId="0" fontId="9" fillId="29" borderId="24" xfId="0" applyFont="1" applyFill="1" applyBorder="1" applyAlignment="1">
      <alignment wrapText="1"/>
    </xf>
    <xf numFmtId="0" fontId="50" fillId="57" borderId="22" xfId="5" applyFont="1" applyFill="1" applyBorder="1" applyAlignment="1">
      <alignment wrapText="1"/>
    </xf>
    <xf numFmtId="2" fontId="9" fillId="55" borderId="24" xfId="0" applyNumberFormat="1" applyFont="1" applyFill="1" applyBorder="1" applyAlignment="1">
      <alignment wrapText="1"/>
    </xf>
    <xf numFmtId="0" fontId="9" fillId="46" borderId="24" xfId="0" applyFont="1" applyFill="1" applyBorder="1" applyAlignment="1">
      <alignment wrapText="1"/>
    </xf>
    <xf numFmtId="0" fontId="9" fillId="108" borderId="24" xfId="0" applyFont="1" applyFill="1" applyBorder="1" applyAlignment="1">
      <alignment wrapText="1"/>
    </xf>
    <xf numFmtId="0" fontId="87" fillId="57" borderId="22" xfId="5" applyFont="1" applyFill="1" applyBorder="1" applyAlignment="1">
      <alignment wrapText="1"/>
    </xf>
    <xf numFmtId="0" fontId="9" fillId="29" borderId="22" xfId="0" applyFont="1" applyFill="1" applyBorder="1" applyAlignment="1">
      <alignment wrapText="1"/>
    </xf>
    <xf numFmtId="0" fontId="9" fillId="29" borderId="21" xfId="0" applyFont="1" applyFill="1" applyBorder="1" applyAlignment="1">
      <alignment wrapText="1"/>
    </xf>
    <xf numFmtId="0" fontId="50" fillId="0" borderId="29" xfId="5" applyFont="1" applyBorder="1" applyAlignment="1">
      <alignment wrapText="1"/>
    </xf>
    <xf numFmtId="3" fontId="50" fillId="71" borderId="24" xfId="6" applyNumberFormat="1" applyFont="1" applyFill="1" applyBorder="1"/>
    <xf numFmtId="0" fontId="90" fillId="29" borderId="24" xfId="0" applyFont="1" applyFill="1" applyBorder="1" applyAlignment="1">
      <alignment wrapText="1"/>
    </xf>
    <xf numFmtId="43" fontId="9" fillId="29" borderId="24" xfId="4" applyFont="1" applyFill="1" applyBorder="1" applyAlignment="1">
      <alignment wrapText="1"/>
    </xf>
    <xf numFmtId="43" fontId="9" fillId="24" borderId="24" xfId="4" applyFont="1" applyFill="1" applyBorder="1" applyAlignment="1">
      <alignment wrapText="1"/>
    </xf>
    <xf numFmtId="0" fontId="4" fillId="10" borderId="24" xfId="0" applyFont="1" applyFill="1" applyBorder="1" applyAlignment="1">
      <alignment wrapText="1"/>
    </xf>
    <xf numFmtId="0" fontId="10" fillId="42" borderId="1" xfId="0" applyFont="1" applyFill="1" applyBorder="1"/>
    <xf numFmtId="43" fontId="1" fillId="0" borderId="1" xfId="4" applyFont="1" applyBorder="1"/>
    <xf numFmtId="0" fontId="24" fillId="42" borderId="1" xfId="0" applyFont="1" applyFill="1" applyBorder="1"/>
    <xf numFmtId="4" fontId="9" fillId="9" borderId="24" xfId="0" applyNumberFormat="1" applyFont="1" applyFill="1" applyBorder="1" applyAlignment="1">
      <alignment wrapText="1"/>
    </xf>
    <xf numFmtId="4" fontId="9" fillId="8" borderId="24" xfId="0" applyNumberFormat="1" applyFont="1" applyFill="1" applyBorder="1" applyAlignment="1">
      <alignment wrapText="1"/>
    </xf>
    <xf numFmtId="49" fontId="9" fillId="22" borderId="24" xfId="0" applyNumberFormat="1" applyFont="1" applyFill="1" applyBorder="1" applyAlignment="1">
      <alignment horizontal="left" wrapText="1"/>
    </xf>
    <xf numFmtId="0" fontId="9" fillId="24" borderId="24" xfId="0" applyFont="1" applyFill="1" applyBorder="1" applyAlignment="1">
      <alignment horizontal="left" wrapText="1"/>
    </xf>
    <xf numFmtId="165" fontId="9" fillId="22" borderId="24" xfId="4" applyNumberFormat="1" applyFont="1" applyFill="1" applyBorder="1" applyAlignment="1">
      <alignment horizontal="right" wrapText="1"/>
    </xf>
    <xf numFmtId="0" fontId="9" fillId="5" borderId="24" xfId="0" applyFont="1" applyFill="1" applyBorder="1" applyAlignment="1">
      <alignment horizontal="right"/>
    </xf>
    <xf numFmtId="0" fontId="9" fillId="63" borderId="24" xfId="0" applyFont="1" applyFill="1" applyBorder="1" applyAlignment="1">
      <alignment horizontal="right"/>
    </xf>
    <xf numFmtId="165" fontId="9" fillId="51" borderId="24" xfId="4" applyNumberFormat="1" applyFont="1" applyFill="1" applyBorder="1" applyAlignment="1">
      <alignment horizontal="right" wrapText="1"/>
    </xf>
    <xf numFmtId="1" fontId="9" fillId="68" borderId="24" xfId="0" applyNumberFormat="1" applyFont="1" applyFill="1" applyBorder="1" applyAlignment="1">
      <alignment horizontal="right" wrapText="1"/>
    </xf>
    <xf numFmtId="17" fontId="9" fillId="8" borderId="24" xfId="0" applyNumberFormat="1" applyFont="1" applyFill="1" applyBorder="1" applyAlignment="1">
      <alignment horizontal="center" wrapText="1"/>
    </xf>
    <xf numFmtId="17" fontId="9" fillId="26" borderId="24" xfId="0" applyNumberFormat="1" applyFont="1" applyFill="1" applyBorder="1" applyAlignment="1">
      <alignment horizontal="right" wrapText="1"/>
    </xf>
    <xf numFmtId="17" fontId="9" fillId="22" borderId="24" xfId="0" applyNumberFormat="1" applyFont="1" applyFill="1" applyBorder="1" applyAlignment="1">
      <alignment horizontal="center" wrapText="1"/>
    </xf>
    <xf numFmtId="17" fontId="9" fillId="8" borderId="24" xfId="0" applyNumberFormat="1" applyFont="1" applyFill="1" applyBorder="1" applyAlignment="1">
      <alignment horizontal="left" wrapText="1"/>
    </xf>
    <xf numFmtId="0" fontId="9" fillId="78" borderId="24" xfId="0" applyFont="1" applyFill="1" applyBorder="1" applyAlignment="1">
      <alignment horizontal="center" wrapText="1"/>
    </xf>
    <xf numFmtId="1" fontId="9" fillId="86" borderId="24" xfId="0" applyNumberFormat="1" applyFont="1" applyFill="1" applyBorder="1" applyAlignment="1">
      <alignment horizontal="right" wrapText="1"/>
    </xf>
    <xf numFmtId="17" fontId="9" fillId="3" borderId="24" xfId="0" applyNumberFormat="1" applyFont="1" applyFill="1" applyBorder="1" applyAlignment="1">
      <alignment horizontal="left" wrapText="1"/>
    </xf>
    <xf numFmtId="3" fontId="10" fillId="22" borderId="24" xfId="0" applyNumberFormat="1" applyFont="1" applyFill="1" applyBorder="1" applyAlignment="1">
      <alignment wrapText="1"/>
    </xf>
    <xf numFmtId="0" fontId="9" fillId="57" borderId="24" xfId="0" applyFont="1" applyFill="1" applyBorder="1" applyAlignment="1">
      <alignment horizontal="center" wrapText="1"/>
    </xf>
    <xf numFmtId="1" fontId="9" fillId="70" borderId="24" xfId="0" applyNumberFormat="1" applyFont="1" applyFill="1" applyBorder="1" applyAlignment="1">
      <alignment horizontal="right" wrapText="1"/>
    </xf>
    <xf numFmtId="0" fontId="9" fillId="77" borderId="24" xfId="0" applyFont="1" applyFill="1" applyBorder="1" applyAlignment="1">
      <alignment horizontal="center" wrapText="1"/>
    </xf>
    <xf numFmtId="3" fontId="26" fillId="57" borderId="24" xfId="0" applyNumberFormat="1" applyFont="1" applyFill="1" applyBorder="1" applyAlignment="1">
      <alignment vertical="top" wrapText="1"/>
    </xf>
    <xf numFmtId="3" fontId="9" fillId="57" borderId="24" xfId="0" applyNumberFormat="1" applyFont="1" applyFill="1" applyBorder="1" applyAlignment="1">
      <alignment vertical="top" wrapText="1"/>
    </xf>
    <xf numFmtId="0" fontId="9" fillId="71" borderId="0" xfId="0" applyFont="1" applyFill="1" applyAlignment="1">
      <alignment wrapText="1"/>
    </xf>
    <xf numFmtId="3" fontId="9" fillId="76" borderId="24" xfId="0" applyNumberFormat="1" applyFont="1" applyFill="1" applyBorder="1" applyAlignment="1">
      <alignment wrapText="1"/>
    </xf>
    <xf numFmtId="3" fontId="9" fillId="39" borderId="24" xfId="0" applyNumberFormat="1" applyFont="1" applyFill="1" applyBorder="1" applyAlignment="1">
      <alignment wrapText="1"/>
    </xf>
    <xf numFmtId="49" fontId="9" fillId="22" borderId="24" xfId="0" applyNumberFormat="1" applyFont="1" applyFill="1" applyBorder="1" applyAlignment="1">
      <alignment wrapText="1"/>
    </xf>
    <xf numFmtId="0" fontId="7" fillId="9" borderId="24" xfId="0" applyFont="1" applyFill="1" applyBorder="1" applyAlignment="1">
      <alignment horizontal="center" wrapText="1"/>
    </xf>
    <xf numFmtId="0" fontId="9" fillId="23" borderId="24" xfId="0" applyFont="1" applyFill="1" applyBorder="1" applyAlignment="1">
      <alignment horizontal="right" wrapText="1"/>
    </xf>
    <xf numFmtId="166" fontId="9" fillId="23" borderId="24" xfId="0" applyNumberFormat="1" applyFont="1" applyFill="1" applyBorder="1" applyAlignment="1">
      <alignment horizontal="right" wrapText="1"/>
    </xf>
    <xf numFmtId="165" fontId="26" fillId="0" borderId="24" xfId="4" applyNumberFormat="1" applyFont="1" applyFill="1" applyBorder="1"/>
    <xf numFmtId="14" fontId="50" fillId="71" borderId="24" xfId="0" applyNumberFormat="1" applyFont="1" applyFill="1" applyBorder="1"/>
    <xf numFmtId="166" fontId="9" fillId="23" borderId="24" xfId="0" applyNumberFormat="1" applyFont="1" applyFill="1" applyBorder="1" applyAlignment="1">
      <alignment horizontal="left" wrapText="1"/>
    </xf>
    <xf numFmtId="166" fontId="9" fillId="8" borderId="24" xfId="0" applyNumberFormat="1" applyFont="1" applyFill="1" applyBorder="1" applyAlignment="1">
      <alignment horizontal="right" wrapText="1"/>
    </xf>
    <xf numFmtId="3" fontId="26" fillId="0" borderId="24" xfId="0" applyNumberFormat="1" applyFont="1" applyBorder="1" applyAlignment="1">
      <alignment vertical="top" wrapText="1"/>
    </xf>
    <xf numFmtId="3" fontId="50" fillId="85" borderId="24" xfId="0" applyNumberFormat="1" applyFont="1" applyFill="1" applyBorder="1"/>
    <xf numFmtId="16" fontId="26" fillId="71" borderId="24" xfId="0" applyNumberFormat="1" applyFont="1" applyFill="1" applyBorder="1"/>
    <xf numFmtId="0" fontId="8" fillId="71" borderId="24" xfId="0" applyFont="1" applyFill="1" applyBorder="1" applyAlignment="1">
      <alignment wrapText="1"/>
    </xf>
    <xf numFmtId="43" fontId="9" fillId="52" borderId="24" xfId="4" applyFont="1" applyFill="1" applyBorder="1" applyAlignment="1">
      <alignment horizontal="left" wrapText="1"/>
    </xf>
    <xf numFmtId="165" fontId="9" fillId="3" borderId="24" xfId="0" applyNumberFormat="1" applyFont="1" applyFill="1" applyBorder="1" applyAlignment="1">
      <alignment horizontal="right" wrapText="1"/>
    </xf>
    <xf numFmtId="0" fontId="1" fillId="10" borderId="24" xfId="0" applyFont="1" applyFill="1" applyBorder="1" applyAlignment="1">
      <alignment wrapText="1"/>
    </xf>
    <xf numFmtId="3" fontId="9" fillId="0" borderId="24" xfId="0" applyNumberFormat="1" applyFont="1" applyBorder="1" applyAlignment="1">
      <alignment vertical="top" wrapText="1"/>
    </xf>
    <xf numFmtId="3" fontId="9" fillId="77" borderId="24" xfId="0" applyNumberFormat="1" applyFont="1" applyFill="1" applyBorder="1" applyAlignment="1">
      <alignment vertical="top" wrapText="1"/>
    </xf>
    <xf numFmtId="166" fontId="9" fillId="68" borderId="24" xfId="0" applyNumberFormat="1" applyFont="1" applyFill="1" applyBorder="1" applyAlignment="1">
      <alignment horizontal="right" wrapText="1"/>
    </xf>
    <xf numFmtId="0" fontId="9" fillId="70" borderId="24" xfId="0" applyFont="1" applyFill="1" applyBorder="1" applyAlignment="1">
      <alignment horizontal="right" wrapText="1"/>
    </xf>
    <xf numFmtId="166" fontId="9" fillId="70" borderId="24" xfId="0" applyNumberFormat="1" applyFont="1" applyFill="1" applyBorder="1" applyAlignment="1">
      <alignment horizontal="right" wrapText="1"/>
    </xf>
    <xf numFmtId="17" fontId="9" fillId="67" borderId="24" xfId="0" applyNumberFormat="1" applyFont="1" applyFill="1" applyBorder="1" applyAlignment="1">
      <alignment horizontal="right" wrapText="1"/>
    </xf>
    <xf numFmtId="3" fontId="9" fillId="42" borderId="24" xfId="0" applyNumberFormat="1" applyFont="1" applyFill="1" applyBorder="1" applyAlignment="1">
      <alignment vertical="top" wrapText="1"/>
    </xf>
    <xf numFmtId="165" fontId="9" fillId="8" borderId="24" xfId="0" applyNumberFormat="1" applyFont="1" applyFill="1" applyBorder="1" applyAlignment="1">
      <alignment horizontal="right" wrapText="1"/>
    </xf>
    <xf numFmtId="3" fontId="9" fillId="57" borderId="24" xfId="0" applyNumberFormat="1" applyFont="1" applyFill="1" applyBorder="1" applyAlignment="1">
      <alignment horizontal="right" wrapText="1"/>
    </xf>
    <xf numFmtId="2" fontId="9" fillId="67" borderId="24" xfId="0" applyNumberFormat="1" applyFont="1" applyFill="1" applyBorder="1" applyAlignment="1">
      <alignment horizontal="right" wrapText="1"/>
    </xf>
    <xf numFmtId="3" fontId="9" fillId="36" borderId="24" xfId="0" applyNumberFormat="1" applyFont="1" applyFill="1" applyBorder="1" applyAlignment="1">
      <alignment horizontal="right" wrapText="1"/>
    </xf>
    <xf numFmtId="3" fontId="9" fillId="6" borderId="24" xfId="0" applyNumberFormat="1" applyFont="1" applyFill="1" applyBorder="1"/>
    <xf numFmtId="14" fontId="9" fillId="8" borderId="24" xfId="0" applyNumberFormat="1" applyFont="1" applyFill="1" applyBorder="1" applyAlignment="1">
      <alignment horizontal="left" wrapText="1"/>
    </xf>
    <xf numFmtId="0" fontId="9" fillId="6" borderId="24" xfId="0" applyFont="1" applyFill="1" applyBorder="1" applyAlignment="1">
      <alignment horizontal="right"/>
    </xf>
    <xf numFmtId="3" fontId="9" fillId="6" borderId="24" xfId="0" applyNumberFormat="1" applyFont="1" applyFill="1" applyBorder="1" applyAlignment="1">
      <alignment horizontal="right"/>
    </xf>
    <xf numFmtId="165" fontId="9" fillId="6" borderId="24" xfId="0" applyNumberFormat="1" applyFont="1" applyFill="1" applyBorder="1" applyAlignment="1">
      <alignment horizontal="right" wrapText="1"/>
    </xf>
    <xf numFmtId="0" fontId="9" fillId="18" borderId="24" xfId="0" applyFont="1" applyFill="1" applyBorder="1" applyAlignment="1">
      <alignment horizontal="right" wrapText="1"/>
    </xf>
    <xf numFmtId="165" fontId="9" fillId="6" borderId="24" xfId="0" applyNumberFormat="1" applyFont="1" applyFill="1" applyBorder="1" applyAlignment="1">
      <alignment wrapText="1"/>
    </xf>
    <xf numFmtId="0" fontId="21" fillId="8" borderId="24" xfId="0" applyFont="1" applyFill="1" applyBorder="1" applyAlignment="1">
      <alignment horizontal="left" wrapText="1"/>
    </xf>
    <xf numFmtId="0" fontId="21" fillId="8" borderId="24" xfId="0" applyFont="1" applyFill="1" applyBorder="1" applyAlignment="1">
      <alignment horizontal="center" wrapText="1"/>
    </xf>
    <xf numFmtId="165" fontId="9" fillId="6" borderId="24" xfId="0" applyNumberFormat="1" applyFont="1" applyFill="1" applyBorder="1" applyAlignment="1">
      <alignment horizontal="left" wrapText="1"/>
    </xf>
    <xf numFmtId="164" fontId="9" fillId="0" borderId="24" xfId="0" applyNumberFormat="1" applyFont="1" applyBorder="1" applyAlignment="1">
      <alignment horizontal="left" wrapText="1"/>
    </xf>
    <xf numFmtId="0" fontId="9" fillId="18" borderId="24" xfId="0" applyFont="1" applyFill="1" applyBorder="1" applyAlignment="1">
      <alignment wrapText="1"/>
    </xf>
    <xf numFmtId="0" fontId="9" fillId="18" borderId="24" xfId="0" applyFont="1" applyFill="1" applyBorder="1" applyAlignment="1">
      <alignment horizontal="left" wrapText="1"/>
    </xf>
    <xf numFmtId="2" fontId="9" fillId="12" borderId="24" xfId="0" applyNumberFormat="1" applyFont="1" applyFill="1" applyBorder="1" applyAlignment="1">
      <alignment horizontal="right" wrapText="1"/>
    </xf>
    <xf numFmtId="1" fontId="9" fillId="6" borderId="24" xfId="0" applyNumberFormat="1" applyFont="1" applyFill="1" applyBorder="1" applyAlignment="1">
      <alignment horizontal="right" wrapText="1"/>
    </xf>
    <xf numFmtId="3" fontId="93" fillId="0" borderId="24" xfId="0" applyNumberFormat="1" applyFont="1" applyBorder="1" applyAlignment="1">
      <alignment wrapText="1"/>
    </xf>
    <xf numFmtId="0" fontId="47" fillId="8" borderId="24" xfId="0" applyFont="1" applyFill="1" applyBorder="1" applyAlignment="1">
      <alignment horizontal="left" wrapText="1"/>
    </xf>
    <xf numFmtId="0" fontId="47" fillId="42" borderId="24" xfId="0" applyFont="1" applyFill="1" applyBorder="1" applyAlignment="1">
      <alignment wrapText="1"/>
    </xf>
    <xf numFmtId="0" fontId="9" fillId="42" borderId="24" xfId="0" applyFont="1" applyFill="1" applyBorder="1" applyAlignment="1">
      <alignment horizontal="left" wrapText="1"/>
    </xf>
    <xf numFmtId="0" fontId="47" fillId="0" borderId="24" xfId="1" applyFont="1" applyBorder="1" applyAlignment="1">
      <alignment horizontal="left" wrapText="1"/>
    </xf>
    <xf numFmtId="0" fontId="47" fillId="42" borderId="24" xfId="1" applyFont="1" applyFill="1" applyBorder="1" applyAlignment="1">
      <alignment horizontal="left" wrapText="1"/>
    </xf>
    <xf numFmtId="3" fontId="12" fillId="42" borderId="24" xfId="0" applyNumberFormat="1" applyFont="1" applyFill="1" applyBorder="1" applyAlignment="1">
      <alignment horizontal="center" wrapText="1"/>
    </xf>
    <xf numFmtId="49" fontId="9" fillId="47" borderId="24" xfId="0" applyNumberFormat="1" applyFont="1" applyFill="1" applyBorder="1" applyAlignment="1">
      <alignment horizontal="left" wrapText="1"/>
    </xf>
    <xf numFmtId="3" fontId="9" fillId="92" borderId="24" xfId="0" applyNumberFormat="1" applyFont="1" applyFill="1" applyBorder="1"/>
    <xf numFmtId="3" fontId="12" fillId="42" borderId="24" xfId="0" applyNumberFormat="1" applyFont="1" applyFill="1" applyBorder="1" applyAlignment="1">
      <alignment horizontal="right"/>
    </xf>
    <xf numFmtId="166" fontId="12" fillId="42" borderId="24" xfId="0" applyNumberFormat="1" applyFont="1" applyFill="1" applyBorder="1" applyAlignment="1">
      <alignment horizontal="left" wrapText="1"/>
    </xf>
    <xf numFmtId="1" fontId="12" fillId="42" borderId="24" xfId="0" applyNumberFormat="1" applyFont="1" applyFill="1" applyBorder="1" applyAlignment="1">
      <alignment horizontal="left" wrapText="1"/>
    </xf>
    <xf numFmtId="0" fontId="78" fillId="0" borderId="0" xfId="0" applyFont="1" applyAlignment="1">
      <alignment horizontal="center"/>
    </xf>
    <xf numFmtId="3" fontId="78" fillId="0" borderId="0" xfId="0" applyNumberFormat="1" applyFont="1"/>
    <xf numFmtId="0" fontId="2" fillId="3" borderId="1" xfId="0" applyFont="1" applyFill="1" applyBorder="1"/>
    <xf numFmtId="0" fontId="1" fillId="3" borderId="3" xfId="0" applyFont="1" applyFill="1" applyBorder="1"/>
    <xf numFmtId="0" fontId="2" fillId="4" borderId="1" xfId="0" applyFont="1" applyFill="1" applyBorder="1"/>
    <xf numFmtId="0" fontId="1" fillId="4" borderId="3" xfId="0" applyFont="1" applyFill="1" applyBorder="1"/>
    <xf numFmtId="0" fontId="2" fillId="12" borderId="1" xfId="0" applyFont="1" applyFill="1" applyBorder="1"/>
    <xf numFmtId="0" fontId="2" fillId="0" borderId="0" xfId="0" applyFont="1" applyAlignment="1">
      <alignment horizontal="right"/>
    </xf>
    <xf numFmtId="0" fontId="2" fillId="2" borderId="36" xfId="0" applyFont="1" applyFill="1" applyBorder="1"/>
    <xf numFmtId="0" fontId="2" fillId="2" borderId="50" xfId="0" applyFont="1" applyFill="1" applyBorder="1"/>
    <xf numFmtId="0" fontId="1" fillId="2" borderId="50" xfId="0" applyFont="1" applyFill="1" applyBorder="1"/>
    <xf numFmtId="0" fontId="1" fillId="2" borderId="42" xfId="0" applyFont="1" applyFill="1" applyBorder="1"/>
    <xf numFmtId="0" fontId="2" fillId="3" borderId="51" xfId="0" applyFont="1" applyFill="1" applyBorder="1"/>
    <xf numFmtId="0" fontId="1" fillId="3" borderId="54" xfId="0" applyFont="1" applyFill="1" applyBorder="1"/>
    <xf numFmtId="0" fontId="2" fillId="4" borderId="51" xfId="0" applyFont="1" applyFill="1" applyBorder="1"/>
    <xf numFmtId="0" fontId="1" fillId="4" borderId="54" xfId="0" applyFont="1" applyFill="1" applyBorder="1"/>
    <xf numFmtId="0" fontId="2" fillId="12" borderId="51" xfId="0" applyFont="1" applyFill="1" applyBorder="1"/>
    <xf numFmtId="0" fontId="2" fillId="5" borderId="43" xfId="0" applyFont="1" applyFill="1" applyBorder="1"/>
    <xf numFmtId="0" fontId="2" fillId="5" borderId="52" xfId="0" applyFont="1" applyFill="1" applyBorder="1"/>
    <xf numFmtId="0" fontId="79" fillId="0" borderId="6" xfId="0" applyFont="1" applyBorder="1"/>
    <xf numFmtId="0" fontId="79" fillId="0" borderId="1" xfId="0" applyFont="1" applyBorder="1"/>
    <xf numFmtId="0" fontId="78" fillId="2" borderId="36" xfId="0" applyFont="1" applyFill="1" applyBorder="1"/>
    <xf numFmtId="0" fontId="24" fillId="25" borderId="50" xfId="0" applyFont="1" applyFill="1" applyBorder="1"/>
    <xf numFmtId="0" fontId="1" fillId="25" borderId="50" xfId="0" applyFont="1" applyFill="1" applyBorder="1"/>
    <xf numFmtId="0" fontId="78" fillId="4" borderId="51" xfId="0" applyFont="1" applyFill="1" applyBorder="1"/>
    <xf numFmtId="0" fontId="24" fillId="28" borderId="1" xfId="0" applyFont="1" applyFill="1" applyBorder="1"/>
    <xf numFmtId="0" fontId="1" fillId="28" borderId="1" xfId="0" applyFont="1" applyFill="1" applyBorder="1"/>
    <xf numFmtId="0" fontId="1" fillId="28" borderId="54" xfId="0" applyFont="1" applyFill="1" applyBorder="1"/>
    <xf numFmtId="0" fontId="78" fillId="3" borderId="51" xfId="0" applyFont="1" applyFill="1" applyBorder="1"/>
    <xf numFmtId="0" fontId="78" fillId="5" borderId="43" xfId="0" applyFont="1" applyFill="1" applyBorder="1"/>
    <xf numFmtId="0" fontId="1" fillId="22" borderId="52" xfId="0" applyFont="1" applyFill="1" applyBorder="1"/>
    <xf numFmtId="0" fontId="1" fillId="28" borderId="54" xfId="0" applyFont="1" applyFill="1" applyBorder="1" applyAlignment="1">
      <alignment horizontal="center"/>
    </xf>
    <xf numFmtId="0" fontId="2" fillId="0" borderId="1" xfId="0" applyFont="1" applyBorder="1" applyAlignment="1">
      <alignment horizontal="right"/>
    </xf>
    <xf numFmtId="0" fontId="78" fillId="2" borderId="50" xfId="0" applyFont="1" applyFill="1" applyBorder="1"/>
    <xf numFmtId="0" fontId="0" fillId="25" borderId="50" xfId="0" applyFill="1" applyBorder="1"/>
    <xf numFmtId="0" fontId="79" fillId="25" borderId="42" xfId="0" applyFont="1" applyFill="1" applyBorder="1"/>
    <xf numFmtId="0" fontId="0" fillId="26" borderId="1" xfId="0" applyFill="1" applyBorder="1"/>
    <xf numFmtId="0" fontId="79" fillId="26" borderId="54" xfId="0" applyFont="1" applyFill="1" applyBorder="1"/>
    <xf numFmtId="0" fontId="24" fillId="28" borderId="54" xfId="0" applyFont="1" applyFill="1" applyBorder="1"/>
    <xf numFmtId="0" fontId="78" fillId="5" borderId="52" xfId="0" applyFont="1" applyFill="1" applyBorder="1"/>
    <xf numFmtId="0" fontId="24" fillId="22" borderId="52" xfId="0" applyFont="1" applyFill="1" applyBorder="1"/>
    <xf numFmtId="0" fontId="24" fillId="22" borderId="44" xfId="0" applyFont="1" applyFill="1" applyBorder="1"/>
    <xf numFmtId="3" fontId="9" fillId="5" borderId="11" xfId="0" applyNumberFormat="1" applyFont="1" applyFill="1" applyBorder="1" applyAlignment="1">
      <alignment horizontal="left" wrapText="1"/>
    </xf>
    <xf numFmtId="165" fontId="9" fillId="5" borderId="24" xfId="4" applyNumberFormat="1" applyFont="1" applyFill="1" applyBorder="1" applyAlignment="1">
      <alignment horizontal="left" wrapText="1"/>
    </xf>
    <xf numFmtId="165" fontId="9" fillId="8" borderId="24" xfId="4" applyNumberFormat="1" applyFont="1" applyFill="1" applyBorder="1" applyAlignment="1">
      <alignment horizontal="left" wrapText="1"/>
    </xf>
    <xf numFmtId="165" fontId="9" fillId="4" borderId="24" xfId="4" applyNumberFormat="1" applyFont="1" applyFill="1" applyBorder="1" applyAlignment="1">
      <alignment horizontal="left" wrapText="1"/>
    </xf>
    <xf numFmtId="165" fontId="9" fillId="3" borderId="24" xfId="4" applyNumberFormat="1" applyFont="1" applyFill="1" applyBorder="1" applyAlignment="1">
      <alignment horizontal="left" wrapText="1"/>
    </xf>
    <xf numFmtId="165" fontId="9" fillId="9" borderId="24" xfId="4" applyNumberFormat="1" applyFont="1" applyFill="1" applyBorder="1" applyAlignment="1">
      <alignment horizontal="left" wrapText="1"/>
    </xf>
    <xf numFmtId="165" fontId="9" fillId="49" borderId="24" xfId="4" applyNumberFormat="1" applyFont="1" applyFill="1" applyBorder="1" applyAlignment="1">
      <alignment wrapText="1"/>
    </xf>
    <xf numFmtId="165" fontId="9" fillId="3" borderId="24" xfId="4" applyNumberFormat="1" applyFont="1" applyFill="1" applyBorder="1" applyAlignment="1">
      <alignment horizontal="right" wrapText="1"/>
    </xf>
    <xf numFmtId="165" fontId="9" fillId="48" borderId="24" xfId="4" applyNumberFormat="1" applyFont="1" applyFill="1" applyBorder="1" applyAlignment="1">
      <alignment wrapText="1"/>
    </xf>
    <xf numFmtId="165" fontId="9" fillId="0" borderId="24" xfId="4" applyNumberFormat="1" applyFont="1" applyBorder="1" applyAlignment="1">
      <alignment horizontal="center" wrapText="1"/>
    </xf>
    <xf numFmtId="165" fontId="9" fillId="0" borderId="24" xfId="4" applyNumberFormat="1" applyFont="1" applyBorder="1" applyAlignment="1">
      <alignment horizontal="right" wrapText="1"/>
    </xf>
    <xf numFmtId="165" fontId="10" fillId="0" borderId="24" xfId="4" applyNumberFormat="1" applyFont="1" applyBorder="1" applyAlignment="1">
      <alignment horizontal="right" wrapText="1"/>
    </xf>
    <xf numFmtId="165" fontId="10" fillId="0" borderId="24" xfId="4" applyNumberFormat="1" applyFont="1" applyBorder="1" applyAlignment="1">
      <alignment horizontal="center" wrapText="1"/>
    </xf>
    <xf numFmtId="165" fontId="9" fillId="8" borderId="6" xfId="4" applyNumberFormat="1" applyFont="1" applyFill="1" applyBorder="1" applyAlignment="1">
      <alignment horizontal="left" wrapText="1"/>
    </xf>
    <xf numFmtId="165" fontId="9" fillId="3" borderId="6" xfId="4" applyNumberFormat="1" applyFont="1" applyFill="1" applyBorder="1" applyAlignment="1">
      <alignment wrapText="1"/>
    </xf>
    <xf numFmtId="165" fontId="9" fillId="9" borderId="6" xfId="4" applyNumberFormat="1" applyFont="1" applyFill="1" applyBorder="1"/>
    <xf numFmtId="165" fontId="9" fillId="4" borderId="6" xfId="4" applyNumberFormat="1" applyFont="1" applyFill="1" applyBorder="1" applyAlignment="1">
      <alignment horizontal="left" wrapText="1"/>
    </xf>
    <xf numFmtId="165" fontId="9" fillId="6" borderId="24" xfId="4" applyNumberFormat="1" applyFont="1" applyFill="1" applyBorder="1" applyAlignment="1">
      <alignment wrapText="1"/>
    </xf>
    <xf numFmtId="165" fontId="9" fillId="8" borderId="24" xfId="4" applyNumberFormat="1" applyFont="1" applyFill="1" applyBorder="1" applyAlignment="1">
      <alignment horizontal="right" wrapText="1"/>
    </xf>
    <xf numFmtId="165" fontId="9" fillId="39" borderId="24" xfId="4" applyNumberFormat="1" applyFont="1" applyFill="1" applyBorder="1"/>
    <xf numFmtId="165" fontId="9" fillId="9" borderId="24" xfId="4" applyNumberFormat="1" applyFont="1" applyFill="1" applyBorder="1" applyAlignment="1">
      <alignment horizontal="right" wrapText="1"/>
    </xf>
    <xf numFmtId="165" fontId="9" fillId="68" borderId="24" xfId="4" applyNumberFormat="1" applyFont="1" applyFill="1" applyBorder="1" applyAlignment="1">
      <alignment horizontal="right" wrapText="1"/>
    </xf>
    <xf numFmtId="165" fontId="9" fillId="0" borderId="24" xfId="4" applyNumberFormat="1" applyFont="1" applyBorder="1" applyAlignment="1">
      <alignment horizontal="left" wrapText="1"/>
    </xf>
    <xf numFmtId="165" fontId="9" fillId="4" borderId="1" xfId="4" applyNumberFormat="1" applyFont="1" applyFill="1" applyBorder="1" applyAlignment="1">
      <alignment wrapText="1"/>
    </xf>
    <xf numFmtId="165" fontId="9" fillId="8" borderId="6" xfId="4" applyNumberFormat="1" applyFont="1" applyFill="1" applyBorder="1" applyAlignment="1">
      <alignment horizontal="right" wrapText="1"/>
    </xf>
    <xf numFmtId="165" fontId="9" fillId="8" borderId="11" xfId="4" applyNumberFormat="1" applyFont="1" applyFill="1" applyBorder="1" applyAlignment="1">
      <alignment horizontal="left" wrapText="1"/>
    </xf>
    <xf numFmtId="165" fontId="9" fillId="8" borderId="11" xfId="4" applyNumberFormat="1" applyFont="1" applyFill="1" applyBorder="1" applyAlignment="1">
      <alignment horizontal="right" wrapText="1"/>
    </xf>
    <xf numFmtId="165" fontId="9" fillId="69" borderId="24" xfId="4" applyNumberFormat="1" applyFont="1" applyFill="1" applyBorder="1"/>
    <xf numFmtId="165" fontId="9" fillId="70" borderId="24" xfId="4" applyNumberFormat="1" applyFont="1" applyFill="1" applyBorder="1"/>
    <xf numFmtId="165" fontId="1" fillId="0" borderId="0" xfId="4" applyNumberFormat="1" applyFont="1"/>
    <xf numFmtId="0" fontId="47" fillId="8" borderId="6" xfId="0" applyFont="1" applyFill="1" applyBorder="1" applyAlignment="1">
      <alignment horizontal="left" wrapText="1"/>
    </xf>
    <xf numFmtId="0" fontId="9" fillId="9" borderId="11" xfId="0" applyFont="1" applyFill="1" applyBorder="1" applyAlignment="1">
      <alignment horizontal="left" wrapText="1"/>
    </xf>
    <xf numFmtId="0" fontId="1" fillId="0" borderId="11" xfId="0" applyFont="1" applyBorder="1" applyAlignment="1">
      <alignment horizontal="right" wrapText="1"/>
    </xf>
    <xf numFmtId="0" fontId="2" fillId="10" borderId="24" xfId="0" applyFont="1" applyFill="1" applyBorder="1" applyAlignment="1">
      <alignment horizontal="left" wrapText="1"/>
    </xf>
    <xf numFmtId="0" fontId="9" fillId="67" borderId="31" xfId="0" applyFont="1" applyFill="1" applyBorder="1" applyAlignment="1">
      <alignment horizontal="left" wrapText="1"/>
    </xf>
    <xf numFmtId="0" fontId="9" fillId="67" borderId="31" xfId="0" applyFont="1" applyFill="1" applyBorder="1" applyAlignment="1">
      <alignment wrapText="1"/>
    </xf>
    <xf numFmtId="165" fontId="9" fillId="4" borderId="31" xfId="4" applyNumberFormat="1" applyFont="1" applyFill="1" applyBorder="1" applyAlignment="1">
      <alignment horizontal="center" wrapText="1"/>
    </xf>
    <xf numFmtId="165" fontId="9" fillId="4" borderId="31" xfId="4" applyNumberFormat="1" applyFont="1" applyFill="1" applyBorder="1" applyAlignment="1">
      <alignment horizontal="right" wrapText="1"/>
    </xf>
    <xf numFmtId="165" fontId="9" fillId="4" borderId="31" xfId="0" applyNumberFormat="1" applyFont="1" applyFill="1" applyBorder="1" applyAlignment="1">
      <alignment horizontal="center" wrapText="1"/>
    </xf>
    <xf numFmtId="165" fontId="9" fillId="5" borderId="31" xfId="4" applyNumberFormat="1" applyFont="1" applyFill="1" applyBorder="1" applyAlignment="1">
      <alignment horizontal="center" wrapText="1"/>
    </xf>
    <xf numFmtId="165" fontId="1" fillId="0" borderId="1" xfId="4" applyNumberFormat="1" applyFont="1" applyBorder="1"/>
    <xf numFmtId="0" fontId="10" fillId="9" borderId="11" xfId="0" applyFont="1" applyFill="1" applyBorder="1" applyAlignment="1">
      <alignment horizontal="left" wrapText="1"/>
    </xf>
    <xf numFmtId="15" fontId="10" fillId="9" borderId="11" xfId="0" applyNumberFormat="1" applyFont="1" applyFill="1" applyBorder="1" applyAlignment="1">
      <alignment horizontal="left" wrapText="1"/>
    </xf>
    <xf numFmtId="3" fontId="9" fillId="9" borderId="11" xfId="0" applyNumberFormat="1" applyFont="1" applyFill="1" applyBorder="1" applyAlignment="1">
      <alignment horizontal="center" wrapText="1"/>
    </xf>
    <xf numFmtId="15" fontId="9" fillId="9" borderId="11" xfId="0" applyNumberFormat="1" applyFont="1" applyFill="1" applyBorder="1" applyAlignment="1">
      <alignment horizontal="center" wrapText="1"/>
    </xf>
    <xf numFmtId="164" fontId="9" fillId="9" borderId="11" xfId="0" applyNumberFormat="1" applyFont="1" applyFill="1" applyBorder="1" applyAlignment="1">
      <alignment wrapText="1"/>
    </xf>
    <xf numFmtId="165" fontId="9" fillId="9" borderId="11" xfId="4" applyNumberFormat="1" applyFont="1" applyFill="1" applyBorder="1" applyAlignment="1">
      <alignment horizontal="center" wrapText="1"/>
    </xf>
    <xf numFmtId="165" fontId="9" fillId="9" borderId="11" xfId="4" applyNumberFormat="1" applyFont="1" applyFill="1" applyBorder="1"/>
    <xf numFmtId="165" fontId="10" fillId="9" borderId="11" xfId="4" applyNumberFormat="1" applyFont="1" applyFill="1" applyBorder="1" applyAlignment="1">
      <alignment horizontal="center" wrapText="1"/>
    </xf>
    <xf numFmtId="2" fontId="10" fillId="9" borderId="11" xfId="0" applyNumberFormat="1" applyFont="1" applyFill="1" applyBorder="1" applyAlignment="1">
      <alignment horizontal="center" wrapText="1"/>
    </xf>
    <xf numFmtId="0" fontId="10" fillId="9" borderId="11" xfId="0" applyFont="1" applyFill="1" applyBorder="1" applyAlignment="1">
      <alignment horizontal="center" wrapText="1"/>
    </xf>
    <xf numFmtId="0" fontId="7" fillId="9" borderId="11" xfId="0" applyFont="1" applyFill="1" applyBorder="1" applyAlignment="1">
      <alignment horizontal="center" wrapText="1"/>
    </xf>
    <xf numFmtId="165" fontId="9" fillId="9" borderId="24" xfId="4" applyNumberFormat="1" applyFont="1" applyFill="1" applyBorder="1" applyAlignment="1">
      <alignment horizontal="center" wrapText="1"/>
    </xf>
    <xf numFmtId="166" fontId="9" fillId="9" borderId="24" xfId="0" applyNumberFormat="1" applyFont="1" applyFill="1" applyBorder="1" applyAlignment="1">
      <alignment horizontal="center" wrapText="1"/>
    </xf>
    <xf numFmtId="2" fontId="9" fillId="9" borderId="24" xfId="0" applyNumberFormat="1" applyFont="1" applyFill="1" applyBorder="1" applyAlignment="1">
      <alignment horizontal="center" wrapText="1"/>
    </xf>
    <xf numFmtId="164" fontId="9" fillId="5" borderId="11" xfId="0" applyNumberFormat="1" applyFont="1" applyFill="1" applyBorder="1" applyAlignment="1">
      <alignment horizontal="center" wrapText="1"/>
    </xf>
    <xf numFmtId="1" fontId="9" fillId="5" borderId="11" xfId="0" applyNumberFormat="1" applyFont="1" applyFill="1" applyBorder="1" applyAlignment="1">
      <alignment horizontal="center" wrapText="1"/>
    </xf>
    <xf numFmtId="165" fontId="9" fillId="3" borderId="24" xfId="4" applyNumberFormat="1" applyFont="1" applyFill="1" applyBorder="1" applyAlignment="1">
      <alignment horizontal="center" wrapText="1"/>
    </xf>
    <xf numFmtId="166" fontId="9" fillId="0" borderId="24" xfId="0" applyNumberFormat="1" applyFont="1" applyBorder="1" applyAlignment="1">
      <alignment horizontal="center" wrapText="1"/>
    </xf>
    <xf numFmtId="0" fontId="9" fillId="57" borderId="24" xfId="0" applyFont="1" applyFill="1" applyBorder="1" applyAlignment="1">
      <alignment vertical="top" wrapText="1"/>
    </xf>
    <xf numFmtId="0" fontId="9" fillId="71" borderId="24" xfId="0" applyFont="1" applyFill="1" applyBorder="1" applyAlignment="1">
      <alignment vertical="top" wrapText="1"/>
    </xf>
    <xf numFmtId="3" fontId="10" fillId="52" borderId="24" xfId="0" applyNumberFormat="1" applyFont="1" applyFill="1" applyBorder="1" applyAlignment="1">
      <alignment wrapText="1"/>
    </xf>
    <xf numFmtId="1" fontId="9" fillId="68" borderId="24" xfId="0" applyNumberFormat="1" applyFont="1" applyFill="1" applyBorder="1" applyAlignment="1">
      <alignment horizontal="center" wrapText="1"/>
    </xf>
    <xf numFmtId="0" fontId="9" fillId="87" borderId="24" xfId="0" applyFont="1" applyFill="1" applyBorder="1" applyAlignment="1">
      <alignment horizontal="center" wrapText="1"/>
    </xf>
    <xf numFmtId="1" fontId="9" fillId="8" borderId="24" xfId="0" applyNumberFormat="1" applyFont="1" applyFill="1" applyBorder="1" applyAlignment="1">
      <alignment horizontal="center" wrapText="1"/>
    </xf>
    <xf numFmtId="1" fontId="12" fillId="0" borderId="24" xfId="0" applyNumberFormat="1" applyFont="1" applyBorder="1" applyAlignment="1">
      <alignment horizontal="center" wrapText="1"/>
    </xf>
    <xf numFmtId="166" fontId="12" fillId="0" borderId="24" xfId="0" applyNumberFormat="1" applyFont="1" applyBorder="1" applyAlignment="1">
      <alignment horizontal="center" wrapText="1"/>
    </xf>
    <xf numFmtId="1" fontId="9" fillId="22" borderId="24" xfId="0" applyNumberFormat="1" applyFont="1" applyFill="1" applyBorder="1" applyAlignment="1">
      <alignment horizontal="left" wrapText="1"/>
    </xf>
    <xf numFmtId="1" fontId="9" fillId="71" borderId="24" xfId="0" applyNumberFormat="1" applyFont="1" applyFill="1" applyBorder="1" applyAlignment="1">
      <alignment horizontal="left" wrapText="1"/>
    </xf>
    <xf numFmtId="0" fontId="50" fillId="0" borderId="26" xfId="6" applyFont="1" applyFill="1" applyBorder="1" applyAlignment="1">
      <alignment wrapText="1"/>
    </xf>
    <xf numFmtId="3" fontId="93" fillId="0" borderId="6" xfId="0" applyNumberFormat="1" applyFont="1" applyBorder="1"/>
    <xf numFmtId="3" fontId="93" fillId="8" borderId="6" xfId="0" applyNumberFormat="1" applyFont="1" applyFill="1" applyBorder="1" applyAlignment="1">
      <alignment wrapText="1"/>
    </xf>
    <xf numFmtId="14" fontId="73" fillId="0" borderId="24" xfId="0" applyNumberFormat="1" applyFont="1" applyBorder="1" applyAlignment="1">
      <alignment horizontal="center" wrapText="1"/>
    </xf>
    <xf numFmtId="3" fontId="33" fillId="18" borderId="24" xfId="0" applyNumberFormat="1" applyFont="1" applyFill="1" applyBorder="1"/>
    <xf numFmtId="3" fontId="33" fillId="13" borderId="24" xfId="0" applyNumberFormat="1" applyFont="1" applyFill="1" applyBorder="1"/>
    <xf numFmtId="3" fontId="33" fillId="20" borderId="24" xfId="0" applyNumberFormat="1" applyFont="1" applyFill="1" applyBorder="1"/>
    <xf numFmtId="3" fontId="33" fillId="21" borderId="24" xfId="0" applyNumberFormat="1" applyFont="1" applyFill="1" applyBorder="1"/>
    <xf numFmtId="3" fontId="4" fillId="8" borderId="24" xfId="0" applyNumberFormat="1" applyFont="1" applyFill="1" applyBorder="1"/>
    <xf numFmtId="3" fontId="33" fillId="8" borderId="24" xfId="0" applyNumberFormat="1" applyFont="1" applyFill="1" applyBorder="1"/>
    <xf numFmtId="10" fontId="34" fillId="0" borderId="24" xfId="0" applyNumberFormat="1" applyFont="1" applyBorder="1"/>
    <xf numFmtId="0" fontId="1" fillId="30" borderId="1" xfId="0" applyFont="1" applyFill="1" applyBorder="1"/>
    <xf numFmtId="0" fontId="2" fillId="112" borderId="51" xfId="0" applyFont="1" applyFill="1" applyBorder="1"/>
    <xf numFmtId="0" fontId="24" fillId="30" borderId="54" xfId="0" applyFont="1" applyFill="1" applyBorder="1"/>
    <xf numFmtId="0" fontId="2" fillId="63" borderId="43" xfId="0" applyFont="1" applyFill="1" applyBorder="1"/>
    <xf numFmtId="0" fontId="24" fillId="25" borderId="36" xfId="0" applyFont="1" applyFill="1" applyBorder="1"/>
    <xf numFmtId="0" fontId="24" fillId="25" borderId="42" xfId="0" applyFont="1" applyFill="1" applyBorder="1"/>
    <xf numFmtId="0" fontId="24" fillId="30" borderId="51" xfId="0" applyFont="1" applyFill="1" applyBorder="1"/>
    <xf numFmtId="0" fontId="0" fillId="30" borderId="54" xfId="0" applyFill="1" applyBorder="1" applyAlignment="1">
      <alignment horizontal="center"/>
    </xf>
    <xf numFmtId="0" fontId="1" fillId="28" borderId="51" xfId="0" applyFont="1" applyFill="1" applyBorder="1"/>
    <xf numFmtId="0" fontId="1" fillId="22" borderId="43" xfId="0" applyFont="1" applyFill="1" applyBorder="1"/>
    <xf numFmtId="0" fontId="14" fillId="10" borderId="6" xfId="0" applyFont="1" applyFill="1" applyBorder="1"/>
    <xf numFmtId="0" fontId="1" fillId="10" borderId="9" xfId="0" applyFont="1" applyFill="1" applyBorder="1" applyAlignment="1">
      <alignment wrapText="1"/>
    </xf>
    <xf numFmtId="0" fontId="33" fillId="10" borderId="9" xfId="0" applyFont="1" applyFill="1" applyBorder="1" applyAlignment="1">
      <alignment wrapText="1"/>
    </xf>
    <xf numFmtId="3" fontId="93" fillId="9" borderId="6" xfId="0" applyNumberFormat="1" applyFont="1" applyFill="1" applyBorder="1" applyAlignment="1">
      <alignment wrapText="1"/>
    </xf>
    <xf numFmtId="0" fontId="1" fillId="10" borderId="12" xfId="0" applyFont="1" applyFill="1" applyBorder="1" applyAlignment="1">
      <alignment wrapText="1"/>
    </xf>
    <xf numFmtId="0" fontId="29" fillId="10" borderId="9" xfId="0" applyFont="1" applyFill="1" applyBorder="1"/>
    <xf numFmtId="0" fontId="29" fillId="10" borderId="6" xfId="0" applyFont="1" applyFill="1" applyBorder="1" applyAlignment="1">
      <alignment wrapText="1"/>
    </xf>
    <xf numFmtId="0" fontId="33" fillId="10" borderId="24" xfId="0" applyFont="1" applyFill="1" applyBorder="1" applyAlignment="1">
      <alignment wrapText="1"/>
    </xf>
    <xf numFmtId="0" fontId="1" fillId="10" borderId="11" xfId="0" applyFont="1" applyFill="1" applyBorder="1" applyAlignment="1">
      <alignment wrapText="1"/>
    </xf>
    <xf numFmtId="0" fontId="1" fillId="10" borderId="6" xfId="0" applyFont="1" applyFill="1" applyBorder="1" applyAlignment="1">
      <alignment wrapText="1"/>
    </xf>
    <xf numFmtId="0" fontId="33" fillId="10" borderId="6" xfId="0" applyFont="1" applyFill="1" applyBorder="1" applyAlignment="1">
      <alignment wrapText="1"/>
    </xf>
    <xf numFmtId="3" fontId="9" fillId="67" borderId="24" xfId="0" applyNumberFormat="1" applyFont="1" applyFill="1" applyBorder="1" applyAlignment="1">
      <alignment horizontal="center" wrapText="1"/>
    </xf>
    <xf numFmtId="0" fontId="12" fillId="42" borderId="24" xfId="0" applyFont="1" applyFill="1" applyBorder="1" applyAlignment="1">
      <alignment horizontal="center" wrapText="1"/>
    </xf>
    <xf numFmtId="164" fontId="9" fillId="0" borderId="24" xfId="0" applyNumberFormat="1" applyFont="1" applyBorder="1" applyAlignment="1">
      <alignment horizontal="center" wrapText="1"/>
    </xf>
    <xf numFmtId="164" fontId="9" fillId="5" borderId="24" xfId="0" applyNumberFormat="1" applyFont="1" applyFill="1" applyBorder="1" applyAlignment="1">
      <alignment horizontal="center" wrapText="1"/>
    </xf>
    <xf numFmtId="0" fontId="2" fillId="0" borderId="1" xfId="7" applyFont="1"/>
    <xf numFmtId="0" fontId="1" fillId="0" borderId="1" xfId="7" applyFont="1" applyAlignment="1">
      <alignment horizontal="center"/>
    </xf>
    <xf numFmtId="0" fontId="24" fillId="0" borderId="1" xfId="7"/>
    <xf numFmtId="0" fontId="24" fillId="0" borderId="1" xfId="7" applyAlignment="1">
      <alignment horizontal="right"/>
    </xf>
    <xf numFmtId="0" fontId="19" fillId="0" borderId="6" xfId="7" applyFont="1" applyBorder="1" applyAlignment="1">
      <alignment horizontal="center"/>
    </xf>
    <xf numFmtId="0" fontId="19" fillId="0" borderId="6" xfId="7" applyFont="1" applyBorder="1" applyAlignment="1">
      <alignment horizontal="center" wrapText="1"/>
    </xf>
    <xf numFmtId="0" fontId="18" fillId="18" borderId="6" xfId="7" applyFont="1" applyFill="1" applyBorder="1"/>
    <xf numFmtId="0" fontId="18" fillId="18" borderId="6" xfId="7" applyFont="1" applyFill="1" applyBorder="1" applyAlignment="1">
      <alignment horizontal="left"/>
    </xf>
    <xf numFmtId="0" fontId="18" fillId="18" borderId="6" xfId="7" applyFont="1" applyFill="1" applyBorder="1" applyAlignment="1">
      <alignment horizontal="center"/>
    </xf>
    <xf numFmtId="0" fontId="21" fillId="98" borderId="24" xfId="7" applyFont="1" applyFill="1" applyBorder="1" applyAlignment="1">
      <alignment wrapText="1"/>
    </xf>
    <xf numFmtId="0" fontId="21" fillId="98" borderId="24" xfId="7" applyFont="1" applyFill="1" applyBorder="1" applyAlignment="1">
      <alignment horizontal="center" wrapText="1"/>
    </xf>
    <xf numFmtId="0" fontId="21" fillId="95" borderId="24" xfId="7" applyFont="1" applyFill="1" applyBorder="1" applyAlignment="1">
      <alignment wrapText="1"/>
    </xf>
    <xf numFmtId="0" fontId="21" fillId="95" borderId="24" xfId="7" applyFont="1" applyFill="1" applyBorder="1" applyAlignment="1">
      <alignment horizontal="center" wrapText="1"/>
    </xf>
    <xf numFmtId="0" fontId="21" fillId="99" borderId="24" xfId="7" applyFont="1" applyFill="1" applyBorder="1" applyAlignment="1">
      <alignment wrapText="1"/>
    </xf>
    <xf numFmtId="0" fontId="21" fillId="99" borderId="24" xfId="7" applyFont="1" applyFill="1" applyBorder="1" applyAlignment="1">
      <alignment horizontal="center" wrapText="1"/>
    </xf>
    <xf numFmtId="0" fontId="21" fillId="95" borderId="24" xfId="7" applyFont="1" applyFill="1" applyBorder="1" applyAlignment="1">
      <alignment horizontal="center"/>
    </xf>
    <xf numFmtId="0" fontId="21" fillId="100" borderId="24" xfId="7" applyFont="1" applyFill="1" applyBorder="1" applyAlignment="1">
      <alignment wrapText="1"/>
    </xf>
    <xf numFmtId="0" fontId="21" fillId="100" borderId="24" xfId="7" applyFont="1" applyFill="1" applyBorder="1"/>
    <xf numFmtId="0" fontId="21" fillId="100" borderId="24" xfId="7" applyFont="1" applyFill="1" applyBorder="1" applyAlignment="1">
      <alignment horizontal="center"/>
    </xf>
    <xf numFmtId="0" fontId="9" fillId="95" borderId="24" xfId="7" applyFont="1" applyFill="1" applyBorder="1"/>
    <xf numFmtId="0" fontId="21" fillId="99" borderId="24" xfId="7" applyFont="1" applyFill="1" applyBorder="1" applyAlignment="1">
      <alignment horizontal="center"/>
    </xf>
    <xf numFmtId="0" fontId="21" fillId="98" borderId="24" xfId="7" applyFont="1" applyFill="1" applyBorder="1"/>
    <xf numFmtId="0" fontId="21" fillId="98" borderId="24" xfId="7" applyFont="1" applyFill="1" applyBorder="1" applyAlignment="1">
      <alignment horizontal="center"/>
    </xf>
    <xf numFmtId="0" fontId="21" fillId="95" borderId="24" xfId="7" applyFont="1" applyFill="1" applyBorder="1"/>
    <xf numFmtId="0" fontId="21" fillId="101" borderId="24" xfId="7" applyFont="1" applyFill="1" applyBorder="1" applyAlignment="1">
      <alignment horizontal="center" wrapText="1"/>
    </xf>
    <xf numFmtId="0" fontId="9" fillId="98" borderId="24" xfId="7" applyFont="1" applyFill="1" applyBorder="1" applyAlignment="1">
      <alignment wrapText="1"/>
    </xf>
    <xf numFmtId="0" fontId="21" fillId="99" borderId="24" xfId="7" applyFont="1" applyFill="1" applyBorder="1"/>
    <xf numFmtId="0" fontId="9" fillId="95" borderId="25" xfId="7" applyFont="1" applyFill="1" applyBorder="1" applyAlignment="1">
      <alignment wrapText="1"/>
    </xf>
    <xf numFmtId="0" fontId="21" fillId="102" borderId="24" xfId="7" applyFont="1" applyFill="1" applyBorder="1" applyAlignment="1">
      <alignment horizontal="left" wrapText="1"/>
    </xf>
    <xf numFmtId="3" fontId="21" fillId="102" borderId="24" xfId="7" applyNumberFormat="1" applyFont="1" applyFill="1" applyBorder="1" applyAlignment="1">
      <alignment horizontal="center" wrapText="1"/>
    </xf>
    <xf numFmtId="0" fontId="21" fillId="102" borderId="24" xfId="7" applyFont="1" applyFill="1" applyBorder="1" applyAlignment="1">
      <alignment horizontal="center" wrapText="1"/>
    </xf>
    <xf numFmtId="0" fontId="21" fillId="84" borderId="24" xfId="7" applyFont="1" applyFill="1" applyBorder="1"/>
    <xf numFmtId="0" fontId="21" fillId="84" borderId="24" xfId="7" applyFont="1" applyFill="1" applyBorder="1" applyAlignment="1">
      <alignment horizontal="center"/>
    </xf>
    <xf numFmtId="0" fontId="21" fillId="84" borderId="24" xfId="7" applyFont="1" applyFill="1" applyBorder="1" applyAlignment="1">
      <alignment wrapText="1"/>
    </xf>
    <xf numFmtId="0" fontId="21" fillId="103" borderId="24" xfId="7" applyFont="1" applyFill="1" applyBorder="1" applyAlignment="1">
      <alignment horizontal="center"/>
    </xf>
    <xf numFmtId="0" fontId="21" fillId="84" borderId="24" xfId="7" applyFont="1" applyFill="1" applyBorder="1" applyAlignment="1">
      <alignment horizontal="center" wrapText="1"/>
    </xf>
    <xf numFmtId="0" fontId="21" fillId="102" borderId="24" xfId="7" applyFont="1" applyFill="1" applyBorder="1" applyAlignment="1">
      <alignment wrapText="1"/>
    </xf>
    <xf numFmtId="3" fontId="21" fillId="84" borderId="24" xfId="7" applyNumberFormat="1" applyFont="1" applyFill="1" applyBorder="1" applyAlignment="1">
      <alignment horizontal="center" wrapText="1"/>
    </xf>
    <xf numFmtId="0" fontId="21" fillId="102" borderId="24" xfId="7" applyFont="1" applyFill="1" applyBorder="1" applyAlignment="1">
      <alignment vertical="center" wrapText="1"/>
    </xf>
    <xf numFmtId="0" fontId="9" fillId="102" borderId="24" xfId="7" applyFont="1" applyFill="1" applyBorder="1" applyAlignment="1">
      <alignment vertical="center" wrapText="1"/>
    </xf>
    <xf numFmtId="0" fontId="21" fillId="102" borderId="24" xfId="7" applyFont="1" applyFill="1" applyBorder="1"/>
    <xf numFmtId="0" fontId="21" fillId="102" borderId="24" xfId="7" applyFont="1" applyFill="1" applyBorder="1" applyAlignment="1">
      <alignment horizontal="center"/>
    </xf>
    <xf numFmtId="0" fontId="21" fillId="84" borderId="24" xfId="7" applyFont="1" applyFill="1" applyBorder="1" applyAlignment="1">
      <alignment horizontal="left" wrapText="1"/>
    </xf>
    <xf numFmtId="0" fontId="21" fillId="103" borderId="24" xfId="7" applyFont="1" applyFill="1" applyBorder="1" applyAlignment="1">
      <alignment wrapText="1"/>
    </xf>
    <xf numFmtId="0" fontId="18" fillId="105" borderId="6" xfId="7" applyFont="1" applyFill="1" applyBorder="1" applyAlignment="1">
      <alignment horizontal="left"/>
    </xf>
    <xf numFmtId="0" fontId="18" fillId="105" borderId="6" xfId="7" applyFont="1" applyFill="1" applyBorder="1" applyAlignment="1">
      <alignment horizontal="center"/>
    </xf>
    <xf numFmtId="0" fontId="21" fillId="103" borderId="24" xfId="7" applyFont="1" applyFill="1" applyBorder="1" applyAlignment="1">
      <alignment horizontal="center" wrapText="1"/>
    </xf>
    <xf numFmtId="0" fontId="21" fillId="102" borderId="1" xfId="7" applyFont="1" applyFill="1" applyAlignment="1">
      <alignment horizontal="center"/>
    </xf>
    <xf numFmtId="2" fontId="9" fillId="29" borderId="24" xfId="0" applyNumberFormat="1" applyFont="1" applyFill="1" applyBorder="1" applyAlignment="1">
      <alignment wrapText="1"/>
    </xf>
    <xf numFmtId="0" fontId="55" fillId="0" borderId="1" xfId="2" applyFont="1" applyAlignment="1">
      <alignment horizontal="left" vertical="center"/>
    </xf>
    <xf numFmtId="0" fontId="4" fillId="10" borderId="24" xfId="0" applyFont="1" applyFill="1" applyBorder="1" applyAlignment="1">
      <alignment horizontal="center" wrapText="1"/>
    </xf>
    <xf numFmtId="0" fontId="4" fillId="106" borderId="24" xfId="0" applyFont="1" applyFill="1" applyBorder="1" applyAlignment="1">
      <alignment horizontal="center" wrapText="1"/>
    </xf>
    <xf numFmtId="0" fontId="4" fillId="7" borderId="9" xfId="0" applyFont="1" applyFill="1" applyBorder="1" applyAlignment="1">
      <alignment horizontal="center"/>
    </xf>
    <xf numFmtId="0" fontId="4" fillId="7" borderId="2" xfId="0" applyFont="1" applyFill="1" applyBorder="1" applyAlignment="1">
      <alignment horizontal="center"/>
    </xf>
    <xf numFmtId="0" fontId="4" fillId="7" borderId="7" xfId="0" applyFont="1" applyFill="1" applyBorder="1" applyAlignment="1">
      <alignment horizontal="center"/>
    </xf>
    <xf numFmtId="0" fontId="4" fillId="7" borderId="9" xfId="0" applyFont="1" applyFill="1" applyBorder="1" applyAlignment="1">
      <alignment horizontal="center" wrapText="1"/>
    </xf>
    <xf numFmtId="0" fontId="24" fillId="0" borderId="2" xfId="0" applyFont="1" applyBorder="1"/>
    <xf numFmtId="0" fontId="24" fillId="0" borderId="7" xfId="0" applyFont="1" applyBorder="1"/>
    <xf numFmtId="0" fontId="4" fillId="7" borderId="2" xfId="0" applyFont="1" applyFill="1" applyBorder="1" applyAlignment="1">
      <alignment horizontal="center" wrapText="1"/>
    </xf>
    <xf numFmtId="0" fontId="4" fillId="7" borderId="7" xfId="0" applyFont="1" applyFill="1" applyBorder="1" applyAlignment="1">
      <alignment horizontal="center" wrapText="1"/>
    </xf>
    <xf numFmtId="0" fontId="4" fillId="107" borderId="24" xfId="0" applyFont="1" applyFill="1" applyBorder="1" applyAlignment="1">
      <alignment horizontal="center"/>
    </xf>
    <xf numFmtId="0" fontId="4" fillId="10" borderId="24" xfId="0" applyFont="1" applyFill="1" applyBorder="1" applyAlignment="1">
      <alignment horizontal="center"/>
    </xf>
    <xf numFmtId="0" fontId="1" fillId="12" borderId="1" xfId="0" applyFont="1" applyFill="1" applyBorder="1" applyAlignment="1">
      <alignment horizontal="center"/>
    </xf>
    <xf numFmtId="0" fontId="1" fillId="12" borderId="54" xfId="0" applyFont="1" applyFill="1" applyBorder="1" applyAlignment="1">
      <alignment horizontal="center"/>
    </xf>
    <xf numFmtId="0" fontId="1" fillId="5" borderId="52" xfId="0" applyFont="1" applyFill="1" applyBorder="1" applyAlignment="1">
      <alignment horizontal="center"/>
    </xf>
    <xf numFmtId="0" fontId="1" fillId="5" borderId="44" xfId="0" applyFont="1" applyFill="1" applyBorder="1" applyAlignment="1">
      <alignment horizontal="center"/>
    </xf>
    <xf numFmtId="0" fontId="4" fillId="7" borderId="24" xfId="0" applyFont="1" applyFill="1" applyBorder="1" applyAlignment="1">
      <alignment horizontal="center" wrapText="1"/>
    </xf>
    <xf numFmtId="0" fontId="4" fillId="7" borderId="46" xfId="0" applyFont="1" applyFill="1" applyBorder="1" applyAlignment="1">
      <alignment horizontal="center" wrapText="1"/>
    </xf>
    <xf numFmtId="0" fontId="4" fillId="7" borderId="13" xfId="0" applyFont="1" applyFill="1" applyBorder="1" applyAlignment="1">
      <alignment horizontal="center" wrapText="1"/>
    </xf>
    <xf numFmtId="0" fontId="4" fillId="7" borderId="39" xfId="0" applyFont="1" applyFill="1" applyBorder="1" applyAlignment="1">
      <alignment horizontal="center" wrapText="1"/>
    </xf>
    <xf numFmtId="0" fontId="4" fillId="7" borderId="18" xfId="0" applyFont="1" applyFill="1" applyBorder="1" applyAlignment="1">
      <alignment horizontal="center" wrapText="1"/>
    </xf>
    <xf numFmtId="0" fontId="4" fillId="7" borderId="18" xfId="0" applyFont="1" applyFill="1" applyBorder="1" applyAlignment="1">
      <alignment horizontal="center"/>
    </xf>
    <xf numFmtId="0" fontId="4" fillId="7" borderId="13" xfId="0" applyFont="1" applyFill="1" applyBorder="1" applyAlignment="1">
      <alignment horizontal="center"/>
    </xf>
    <xf numFmtId="0" fontId="4" fillId="7" borderId="47" xfId="0" applyFont="1" applyFill="1" applyBorder="1" applyAlignment="1">
      <alignment horizontal="center"/>
    </xf>
    <xf numFmtId="0" fontId="4" fillId="7" borderId="48" xfId="0" applyFont="1" applyFill="1" applyBorder="1" applyAlignment="1">
      <alignment horizontal="center"/>
    </xf>
    <xf numFmtId="0" fontId="4" fillId="7" borderId="49" xfId="0" applyFont="1" applyFill="1" applyBorder="1" applyAlignment="1">
      <alignment horizontal="center"/>
    </xf>
    <xf numFmtId="0" fontId="2" fillId="5" borderId="43" xfId="0" applyFont="1" applyFill="1" applyBorder="1" applyAlignment="1">
      <alignment horizontal="left"/>
    </xf>
    <xf numFmtId="0" fontId="2" fillId="5" borderId="52" xfId="0" applyFont="1" applyFill="1" applyBorder="1" applyAlignment="1">
      <alignment horizontal="left"/>
    </xf>
    <xf numFmtId="0" fontId="2" fillId="5" borderId="44" xfId="0" applyFont="1" applyFill="1" applyBorder="1" applyAlignment="1">
      <alignment horizontal="left"/>
    </xf>
    <xf numFmtId="0" fontId="4" fillId="10" borderId="26" xfId="0" applyFont="1" applyFill="1" applyBorder="1" applyAlignment="1">
      <alignment horizontal="center" wrapText="1"/>
    </xf>
    <xf numFmtId="0" fontId="4" fillId="10" borderId="27" xfId="0" applyFont="1" applyFill="1" applyBorder="1" applyAlignment="1">
      <alignment horizontal="center" wrapText="1"/>
    </xf>
    <xf numFmtId="0" fontId="4" fillId="10" borderId="23" xfId="0" applyFont="1" applyFill="1" applyBorder="1" applyAlignment="1">
      <alignment horizontal="center" wrapText="1"/>
    </xf>
    <xf numFmtId="0" fontId="1" fillId="25" borderId="50" xfId="0" applyFont="1" applyFill="1" applyBorder="1" applyAlignment="1">
      <alignment horizontal="center"/>
    </xf>
    <xf numFmtId="0" fontId="1" fillId="25" borderId="42" xfId="0" applyFont="1" applyFill="1" applyBorder="1" applyAlignment="1">
      <alignment horizontal="center"/>
    </xf>
    <xf numFmtId="0" fontId="2" fillId="4" borderId="51" xfId="0" applyFont="1" applyFill="1" applyBorder="1" applyAlignment="1">
      <alignment horizontal="left"/>
    </xf>
    <xf numFmtId="0" fontId="2" fillId="4" borderId="1" xfId="0" applyFont="1" applyFill="1" applyBorder="1" applyAlignment="1">
      <alignment horizontal="left"/>
    </xf>
    <xf numFmtId="0" fontId="2" fillId="4" borderId="54" xfId="0" applyFont="1" applyFill="1" applyBorder="1" applyAlignment="1">
      <alignment horizontal="left"/>
    </xf>
    <xf numFmtId="0" fontId="2" fillId="3" borderId="51" xfId="0" applyFont="1" applyFill="1" applyBorder="1" applyAlignment="1">
      <alignment horizontal="left"/>
    </xf>
    <xf numFmtId="0" fontId="2" fillId="3" borderId="1" xfId="0" applyFont="1" applyFill="1" applyBorder="1" applyAlignment="1">
      <alignment horizontal="left"/>
    </xf>
    <xf numFmtId="0" fontId="2" fillId="3" borderId="54" xfId="0" applyFont="1" applyFill="1" applyBorder="1" applyAlignment="1">
      <alignment horizontal="left"/>
    </xf>
    <xf numFmtId="0" fontId="2" fillId="110" borderId="51" xfId="0" applyFont="1" applyFill="1" applyBorder="1" applyAlignment="1">
      <alignment horizontal="left"/>
    </xf>
    <xf numFmtId="0" fontId="2" fillId="110" borderId="1" xfId="0" applyFont="1" applyFill="1" applyBorder="1" applyAlignment="1">
      <alignment horizontal="left"/>
    </xf>
    <xf numFmtId="0" fontId="2" fillId="110" borderId="54" xfId="0" applyFont="1" applyFill="1" applyBorder="1" applyAlignment="1">
      <alignment horizontal="left"/>
    </xf>
    <xf numFmtId="0" fontId="4" fillId="7" borderId="14" xfId="0" applyFont="1" applyFill="1" applyBorder="1" applyAlignment="1">
      <alignment horizontal="center" wrapText="1"/>
    </xf>
    <xf numFmtId="0" fontId="4" fillId="7" borderId="16" xfId="0" applyFont="1" applyFill="1" applyBorder="1" applyAlignment="1">
      <alignment horizontal="center" wrapText="1"/>
    </xf>
    <xf numFmtId="0" fontId="4" fillId="7" borderId="26" xfId="0" applyFont="1" applyFill="1" applyBorder="1" applyAlignment="1">
      <alignment horizontal="center" wrapText="1"/>
    </xf>
    <xf numFmtId="0" fontId="4" fillId="7" borderId="27" xfId="0" applyFont="1" applyFill="1" applyBorder="1" applyAlignment="1">
      <alignment horizontal="center" wrapText="1"/>
    </xf>
    <xf numFmtId="0" fontId="4" fillId="7" borderId="23" xfId="0" applyFont="1" applyFill="1" applyBorder="1" applyAlignment="1">
      <alignment horizontal="center" wrapText="1"/>
    </xf>
    <xf numFmtId="0" fontId="4" fillId="7" borderId="25" xfId="0" applyFont="1" applyFill="1" applyBorder="1" applyAlignment="1">
      <alignment horizontal="center" wrapText="1"/>
    </xf>
    <xf numFmtId="0" fontId="4" fillId="111" borderId="24" xfId="0" applyFont="1" applyFill="1" applyBorder="1" applyAlignment="1">
      <alignment horizontal="center"/>
    </xf>
    <xf numFmtId="0" fontId="4" fillId="10" borderId="45" xfId="0" applyFont="1" applyFill="1" applyBorder="1" applyAlignment="1">
      <alignment horizontal="center" wrapText="1"/>
    </xf>
    <xf numFmtId="0" fontId="4" fillId="10" borderId="55" xfId="0" applyFont="1" applyFill="1" applyBorder="1" applyAlignment="1">
      <alignment horizontal="center" wrapText="1"/>
    </xf>
    <xf numFmtId="0" fontId="1" fillId="22" borderId="52" xfId="0" applyFont="1" applyFill="1" applyBorder="1" applyAlignment="1">
      <alignment horizontal="center"/>
    </xf>
    <xf numFmtId="0" fontId="1" fillId="22" borderId="44" xfId="0" applyFont="1" applyFill="1" applyBorder="1" applyAlignment="1">
      <alignment horizontal="center"/>
    </xf>
    <xf numFmtId="0" fontId="4" fillId="111" borderId="53" xfId="0" applyFont="1" applyFill="1" applyBorder="1" applyAlignment="1">
      <alignment horizontal="center"/>
    </xf>
    <xf numFmtId="0" fontId="4" fillId="111" borderId="2" xfId="0" applyFont="1" applyFill="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31" fillId="0" borderId="23" xfId="0" applyFont="1" applyBorder="1" applyAlignment="1">
      <alignment horizontal="center"/>
    </xf>
    <xf numFmtId="43" fontId="9" fillId="73" borderId="24" xfId="4" applyFont="1" applyFill="1" applyBorder="1" applyAlignment="1">
      <alignment horizontal="right"/>
    </xf>
  </cellXfs>
  <cellStyles count="8">
    <cellStyle name="Comma" xfId="4" builtinId="3"/>
    <cellStyle name="Hyperlink" xfId="1" builtinId="8"/>
    <cellStyle name="Hyperlink 4" xfId="3" xr:uid="{00000000-0005-0000-0000-000002000000}"/>
    <cellStyle name="Normal" xfId="0" builtinId="0"/>
    <cellStyle name="Normal 2" xfId="5" xr:uid="{84F1513E-B13C-0C49-B991-6B3C0C0A8A2C}"/>
    <cellStyle name="Normal 4" xfId="2" xr:uid="{00000000-0005-0000-0000-000004000000}"/>
    <cellStyle name="Normal 5" xfId="7" xr:uid="{13219950-4ACB-6F44-B1E5-BEF8A8660300}"/>
    <cellStyle name="Output" xfId="6" builtinId="21"/>
  </cellStyles>
  <dxfs count="0"/>
  <tableStyles count="0" defaultTableStyle="TableStyleMedium2" defaultPivotStyle="PivotStyleLight16"/>
  <colors>
    <mruColors>
      <color rgb="FFF2A16A"/>
      <color rgb="FF05B0F0"/>
      <color rgb="FFEF8B47"/>
      <color rgb="FFFFC400"/>
      <color rgb="FF54DA00"/>
      <color rgb="FF00DA3D"/>
      <color rgb="FFA8D08D"/>
      <color rgb="FFDEEBF7"/>
      <color rgb="FFB4C6E7"/>
      <color rgb="FF7F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000000"/>
                </a:solidFill>
                <a:latin typeface="+mn-lt"/>
              </a:defRPr>
            </a:pPr>
            <a:r>
              <a:rPr lang="en-US" sz="1400" b="1" i="0">
                <a:solidFill>
                  <a:srgbClr val="000000"/>
                </a:solidFill>
                <a:latin typeface="+mn-lt"/>
              </a:rPr>
              <a:t>2023 Under Construction Projects (126 total) </a:t>
            </a:r>
          </a:p>
        </c:rich>
      </c:tx>
      <c:overlay val="0"/>
    </c:title>
    <c:autoTitleDeleted val="0"/>
    <c:plotArea>
      <c:layout/>
      <c:pieChart>
        <c:varyColors val="1"/>
        <c:ser>
          <c:idx val="1"/>
          <c:order val="1"/>
          <c:dPt>
            <c:idx val="0"/>
            <c:bubble3D val="0"/>
            <c:spPr>
              <a:solidFill>
                <a:srgbClr val="F4B083"/>
              </a:solidFill>
            </c:spPr>
            <c:extLst>
              <c:ext xmlns:c16="http://schemas.microsoft.com/office/drawing/2014/chart" uri="{C3380CC4-5D6E-409C-BE32-E72D297353CC}">
                <c16:uniqueId val="{00000001-B5F6-8548-A4C4-272236D008B7}"/>
              </c:ext>
            </c:extLst>
          </c:dPt>
          <c:dPt>
            <c:idx val="1"/>
            <c:bubble3D val="0"/>
            <c:spPr>
              <a:solidFill>
                <a:srgbClr val="7F7F7F"/>
              </a:solidFill>
            </c:spPr>
            <c:extLst>
              <c:ext xmlns:c16="http://schemas.microsoft.com/office/drawing/2014/chart" uri="{C3380CC4-5D6E-409C-BE32-E72D297353CC}">
                <c16:uniqueId val="{00000003-B5F6-8548-A4C4-272236D008B7}"/>
              </c:ext>
            </c:extLst>
          </c:dPt>
          <c:dPt>
            <c:idx val="2"/>
            <c:bubble3D val="0"/>
            <c:spPr>
              <a:solidFill>
                <a:srgbClr val="A8D08D"/>
              </a:solidFill>
            </c:spPr>
            <c:extLst>
              <c:ext xmlns:c16="http://schemas.microsoft.com/office/drawing/2014/chart" uri="{C3380CC4-5D6E-409C-BE32-E72D297353CC}">
                <c16:uniqueId val="{00000005-B5F6-8548-A4C4-272236D008B7}"/>
              </c:ext>
            </c:extLst>
          </c:dPt>
          <c:dPt>
            <c:idx val="3"/>
            <c:bubble3D val="0"/>
            <c:spPr>
              <a:solidFill>
                <a:srgbClr val="B4C6E7"/>
              </a:solidFill>
            </c:spPr>
            <c:extLst>
              <c:ext xmlns:c16="http://schemas.microsoft.com/office/drawing/2014/chart" uri="{C3380CC4-5D6E-409C-BE32-E72D297353CC}">
                <c16:uniqueId val="{00000007-B5F6-8548-A4C4-272236D008B7}"/>
              </c:ext>
            </c:extLst>
          </c:dPt>
          <c:dLbls>
            <c:dLbl>
              <c:idx val="0"/>
              <c:layout>
                <c:manualLayout>
                  <c:x val="0.11253419092467574"/>
                  <c:y val="1.16740506376431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5F6-8548-A4C4-272236D008B7}"/>
                </c:ext>
              </c:extLst>
            </c:dLbl>
            <c:dLbl>
              <c:idx val="3"/>
              <c:layout>
                <c:manualLayout>
                  <c:x val="-0.26343742688565874"/>
                  <c:y val="9.332437188897578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5F6-8548-A4C4-272236D008B7}"/>
                </c:ext>
              </c:extLst>
            </c:dLbl>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TOTALS!$A$18:$A$21</c:f>
              <c:strCache>
                <c:ptCount val="4"/>
                <c:pt idx="0">
                  <c:v>Food Waste</c:v>
                </c:pt>
                <c:pt idx="1">
                  <c:v>Landfills</c:v>
                </c:pt>
                <c:pt idx="2">
                  <c:v>Livestock, agriculture</c:v>
                </c:pt>
                <c:pt idx="3">
                  <c:v>Water Resource Recovery Facilities (WRRFs)</c:v>
                </c:pt>
              </c:strCache>
            </c:strRef>
          </c:cat>
          <c:val>
            <c:numRef>
              <c:f>TOTALS!$C$18:$C$21</c:f>
              <c:numCache>
                <c:formatCode>#,##0</c:formatCode>
                <c:ptCount val="4"/>
                <c:pt idx="0" formatCode="General">
                  <c:v>10</c:v>
                </c:pt>
                <c:pt idx="1">
                  <c:v>26</c:v>
                </c:pt>
                <c:pt idx="2">
                  <c:v>84</c:v>
                </c:pt>
                <c:pt idx="3">
                  <c:v>5</c:v>
                </c:pt>
              </c:numCache>
            </c:numRef>
          </c:val>
          <c:extLst>
            <c:ext xmlns:c16="http://schemas.microsoft.com/office/drawing/2014/chart" uri="{C3380CC4-5D6E-409C-BE32-E72D297353CC}">
              <c16:uniqueId val="{00000008-B5F6-8548-A4C4-272236D008B7}"/>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dPt>
                  <c:idx val="0"/>
                  <c:bubble3D val="0"/>
                  <c:extLst>
                    <c:ext xmlns:c16="http://schemas.microsoft.com/office/drawing/2014/chart" uri="{C3380CC4-5D6E-409C-BE32-E72D297353CC}">
                      <c16:uniqueId val="{00000001-D755-4EBE-91FB-426E611B5B13}"/>
                    </c:ext>
                  </c:extLst>
                </c:dPt>
                <c:dPt>
                  <c:idx val="1"/>
                  <c:bubble3D val="0"/>
                  <c:extLst>
                    <c:ext xmlns:c16="http://schemas.microsoft.com/office/drawing/2014/chart" uri="{C3380CC4-5D6E-409C-BE32-E72D297353CC}">
                      <c16:uniqueId val="{00000003-D755-4EBE-91FB-426E611B5B13}"/>
                    </c:ext>
                  </c:extLst>
                </c:dPt>
                <c:dPt>
                  <c:idx val="2"/>
                  <c:bubble3D val="0"/>
                  <c:extLst>
                    <c:ext xmlns:c16="http://schemas.microsoft.com/office/drawing/2014/chart" uri="{C3380CC4-5D6E-409C-BE32-E72D297353CC}">
                      <c16:uniqueId val="{00000005-D755-4EBE-91FB-426E611B5B13}"/>
                    </c:ext>
                  </c:extLst>
                </c:dPt>
                <c:dPt>
                  <c:idx val="3"/>
                  <c:bubble3D val="0"/>
                  <c:extLst>
                    <c:ext xmlns:c16="http://schemas.microsoft.com/office/drawing/2014/chart" uri="{C3380CC4-5D6E-409C-BE32-E72D297353CC}">
                      <c16:uniqueId val="{00000007-D755-4EBE-91FB-426E611B5B13}"/>
                    </c:ext>
                  </c:extLst>
                </c:dPt>
                <c:dLbls>
                  <c:dLbl>
                    <c:idx val="2"/>
                    <c:tx>
                      <c:rich>
                        <a:bodyPr/>
                        <a:lstStyle/>
                        <a:p>
                          <a:r>
                            <a:rPr lang="en-US" b="0">
                              <a:solidFill>
                                <a:srgbClr val="000000"/>
                              </a:solidFill>
                              <a:latin typeface="+mn-lt"/>
                            </a:rPr>
                            <a:t>Livestock and agriculture, </a:t>
                          </a:r>
                        </a:p>
                      </c:rich>
                    </c:tx>
                    <c:showLegendKey val="0"/>
                    <c:showVal val="1"/>
                    <c:showCatName val="0"/>
                    <c:showSerName val="0"/>
                    <c:showPercent val="0"/>
                    <c:showBubbleSize val="0"/>
                    <c:extLst>
                      <c:ext uri="{CE6537A1-D6FC-4f65-9D91-7224C49458BB}">
                        <c15:showDataLabelsRange val="0"/>
                      </c:ext>
                      <c:ext xmlns:c16="http://schemas.microsoft.com/office/drawing/2014/chart" uri="{C3380CC4-5D6E-409C-BE32-E72D297353CC}">
                        <c16:uniqueId val="{00000005-D755-4EBE-91FB-426E611B5B13}"/>
                      </c:ext>
                    </c:extLst>
                  </c:dLbl>
                  <c:spPr>
                    <a:noFill/>
                    <a:ln>
                      <a:noFill/>
                    </a:ln>
                    <a:effectLst/>
                  </c:spPr>
                  <c:showLegendKey val="0"/>
                  <c:showVal val="1"/>
                  <c:showCatName val="0"/>
                  <c:showSerName val="0"/>
                  <c:showPercent val="0"/>
                  <c:showBubbleSize val="0"/>
                  <c:showLeaderLines val="1"/>
                  <c:extLst>
                    <c:ext uri="{CE6537A1-D6FC-4f65-9D91-7224C49458BB}"/>
                  </c:extLst>
                </c:dLbls>
                <c:cat>
                  <c:strRef>
                    <c:extLst>
                      <c:ext uri="{02D57815-91ED-43cb-92C2-25804820EDAC}">
                        <c15:formulaRef>
                          <c15:sqref>TOTALS!$A$18:$A$21</c15:sqref>
                        </c15:formulaRef>
                      </c:ext>
                    </c:extLst>
                    <c:strCache>
                      <c:ptCount val="4"/>
                      <c:pt idx="0">
                        <c:v>Food Waste</c:v>
                      </c:pt>
                      <c:pt idx="1">
                        <c:v>Landfills</c:v>
                      </c:pt>
                      <c:pt idx="2">
                        <c:v>Livestock, agriculture</c:v>
                      </c:pt>
                      <c:pt idx="3">
                        <c:v>Water Resource Recovery Facilities (WRRFs)</c:v>
                      </c:pt>
                    </c:strCache>
                  </c:strRef>
                </c:cat>
                <c:val>
                  <c:numRef>
                    <c:extLst>
                      <c:ext uri="{02D57815-91ED-43cb-92C2-25804820EDAC}">
                        <c15:formulaRef>
                          <c15:sqref>TOTALS!$F$18:$F$21</c15:sqref>
                        </c15:formulaRef>
                      </c:ext>
                    </c:extLst>
                    <c:numCache>
                      <c:formatCode>#,##0</c:formatCode>
                      <c:ptCount val="4"/>
                      <c:pt idx="0" formatCode="General">
                        <c:v>32</c:v>
                      </c:pt>
                      <c:pt idx="1">
                        <c:v>114</c:v>
                      </c:pt>
                      <c:pt idx="2">
                        <c:v>224</c:v>
                      </c:pt>
                      <c:pt idx="3">
                        <c:v>35</c:v>
                      </c:pt>
                    </c:numCache>
                  </c:numRef>
                </c:val>
                <c:extLst>
                  <c:ext xmlns:c16="http://schemas.microsoft.com/office/drawing/2014/chart" uri="{C3380CC4-5D6E-409C-BE32-E72D297353CC}">
                    <c16:uniqueId val="{00000008-D755-4EBE-91FB-426E611B5B13}"/>
                  </c:ext>
                </c:extLst>
              </c15:ser>
            </c15:filteredPieSeries>
          </c:ext>
        </c:extLst>
      </c:pieChart>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000000"/>
                </a:solidFill>
                <a:latin typeface="+mn-lt"/>
              </a:defRPr>
            </a:pPr>
            <a:r>
              <a:rPr lang="en-US" sz="1400" b="1" i="0">
                <a:solidFill>
                  <a:srgbClr val="000000"/>
                </a:solidFill>
                <a:latin typeface="+mn-lt"/>
              </a:rPr>
              <a:t>2023 Planned Projects (111 total) </a:t>
            </a:r>
          </a:p>
        </c:rich>
      </c:tx>
      <c:overlay val="0"/>
    </c:title>
    <c:autoTitleDeleted val="0"/>
    <c:plotArea>
      <c:layout/>
      <c:pieChart>
        <c:varyColors val="1"/>
        <c:ser>
          <c:idx val="2"/>
          <c:order val="2"/>
          <c:dPt>
            <c:idx val="0"/>
            <c:bubble3D val="0"/>
            <c:spPr>
              <a:solidFill>
                <a:srgbClr val="F4B083"/>
              </a:solidFill>
            </c:spPr>
            <c:extLst>
              <c:ext xmlns:c16="http://schemas.microsoft.com/office/drawing/2014/chart" uri="{C3380CC4-5D6E-409C-BE32-E72D297353CC}">
                <c16:uniqueId val="{00000001-690B-5D46-81D5-EA04D15E5088}"/>
              </c:ext>
            </c:extLst>
          </c:dPt>
          <c:dPt>
            <c:idx val="1"/>
            <c:bubble3D val="0"/>
            <c:spPr>
              <a:solidFill>
                <a:srgbClr val="7F7F7F"/>
              </a:solidFill>
            </c:spPr>
            <c:extLst>
              <c:ext xmlns:c16="http://schemas.microsoft.com/office/drawing/2014/chart" uri="{C3380CC4-5D6E-409C-BE32-E72D297353CC}">
                <c16:uniqueId val="{00000003-690B-5D46-81D5-EA04D15E5088}"/>
              </c:ext>
            </c:extLst>
          </c:dPt>
          <c:dPt>
            <c:idx val="2"/>
            <c:bubble3D val="0"/>
            <c:spPr>
              <a:solidFill>
                <a:srgbClr val="A8D08D"/>
              </a:solidFill>
            </c:spPr>
            <c:extLst>
              <c:ext xmlns:c16="http://schemas.microsoft.com/office/drawing/2014/chart" uri="{C3380CC4-5D6E-409C-BE32-E72D297353CC}">
                <c16:uniqueId val="{00000005-690B-5D46-81D5-EA04D15E5088}"/>
              </c:ext>
            </c:extLst>
          </c:dPt>
          <c:dPt>
            <c:idx val="3"/>
            <c:bubble3D val="0"/>
            <c:spPr>
              <a:solidFill>
                <a:srgbClr val="B4C6E7"/>
              </a:solidFill>
            </c:spPr>
            <c:extLst>
              <c:ext xmlns:c16="http://schemas.microsoft.com/office/drawing/2014/chart" uri="{C3380CC4-5D6E-409C-BE32-E72D297353CC}">
                <c16:uniqueId val="{00000007-690B-5D46-81D5-EA04D15E5088}"/>
              </c:ext>
            </c:extLst>
          </c:dPt>
          <c:dLbls>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TOTALS!$A$18:$A$21</c:f>
              <c:strCache>
                <c:ptCount val="4"/>
                <c:pt idx="0">
                  <c:v>Food Waste</c:v>
                </c:pt>
                <c:pt idx="1">
                  <c:v>Landfills</c:v>
                </c:pt>
                <c:pt idx="2">
                  <c:v>Livestock, agriculture</c:v>
                </c:pt>
                <c:pt idx="3">
                  <c:v>Water Resource Recovery Facilities (WRRFs)</c:v>
                </c:pt>
              </c:strCache>
            </c:strRef>
          </c:cat>
          <c:val>
            <c:numRef>
              <c:f>TOTALS!$D$18:$D$21</c:f>
              <c:numCache>
                <c:formatCode>#,##0</c:formatCode>
                <c:ptCount val="4"/>
                <c:pt idx="0" formatCode="General">
                  <c:v>20</c:v>
                </c:pt>
                <c:pt idx="1">
                  <c:v>34</c:v>
                </c:pt>
                <c:pt idx="2">
                  <c:v>52</c:v>
                </c:pt>
                <c:pt idx="3">
                  <c:v>5</c:v>
                </c:pt>
              </c:numCache>
            </c:numRef>
          </c:val>
          <c:extLst>
            <c:ext xmlns:c16="http://schemas.microsoft.com/office/drawing/2014/chart" uri="{C3380CC4-5D6E-409C-BE32-E72D297353CC}">
              <c16:uniqueId val="{00000008-690B-5D46-81D5-EA04D15E5088}"/>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dPt>
                  <c:idx val="0"/>
                  <c:bubble3D val="0"/>
                  <c:spPr>
                    <a:solidFill>
                      <a:schemeClr val="accent2"/>
                    </a:solidFill>
                  </c:spPr>
                  <c:extLst>
                    <c:ext xmlns:c16="http://schemas.microsoft.com/office/drawing/2014/chart" uri="{C3380CC4-5D6E-409C-BE32-E72D297353CC}">
                      <c16:uniqueId val="{00000001-9705-43D7-AEBE-24DA64A2BC5A}"/>
                    </c:ext>
                  </c:extLst>
                </c:dPt>
                <c:dPt>
                  <c:idx val="1"/>
                  <c:bubble3D val="0"/>
                  <c:spPr>
                    <a:solidFill>
                      <a:srgbClr val="ED7D31"/>
                    </a:solidFill>
                  </c:spPr>
                  <c:extLst>
                    <c:ext xmlns:c16="http://schemas.microsoft.com/office/drawing/2014/chart" uri="{C3380CC4-5D6E-409C-BE32-E72D297353CC}">
                      <c16:uniqueId val="{00000003-9705-43D7-AEBE-24DA64A2BC5A}"/>
                    </c:ext>
                  </c:extLst>
                </c:dPt>
                <c:dPt>
                  <c:idx val="2"/>
                  <c:bubble3D val="0"/>
                  <c:spPr>
                    <a:solidFill>
                      <a:schemeClr val="accent6"/>
                    </a:solidFill>
                  </c:spPr>
                  <c:extLst>
                    <c:ext xmlns:c16="http://schemas.microsoft.com/office/drawing/2014/chart" uri="{C3380CC4-5D6E-409C-BE32-E72D297353CC}">
                      <c16:uniqueId val="{00000005-9705-43D7-AEBE-24DA64A2BC5A}"/>
                    </c:ext>
                  </c:extLst>
                </c:dPt>
                <c:dPt>
                  <c:idx val="3"/>
                  <c:bubble3D val="0"/>
                  <c:spPr>
                    <a:solidFill>
                      <a:schemeClr val="accent5"/>
                    </a:solidFill>
                  </c:spPr>
                  <c:extLst>
                    <c:ext xmlns:c16="http://schemas.microsoft.com/office/drawing/2014/chart" uri="{C3380CC4-5D6E-409C-BE32-E72D297353CC}">
                      <c16:uniqueId val="{00000007-9705-43D7-AEBE-24DA64A2BC5A}"/>
                    </c:ext>
                  </c:extLst>
                </c:dPt>
                <c:dLbls>
                  <c:dLbl>
                    <c:idx val="2"/>
                    <c:tx>
                      <c:rich>
                        <a:bodyPr/>
                        <a:lstStyle/>
                        <a:p>
                          <a:r>
                            <a:rPr lang="en-US" b="0">
                              <a:solidFill>
                                <a:srgbClr val="000000"/>
                              </a:solidFill>
                              <a:latin typeface="+mn-lt"/>
                            </a:rPr>
                            <a:t>Livestock and agriculture, </a:t>
                          </a:r>
                        </a:p>
                      </c:rich>
                    </c:tx>
                    <c:showLegendKey val="0"/>
                    <c:showVal val="1"/>
                    <c:showCatName val="0"/>
                    <c:showSerName val="0"/>
                    <c:showPercent val="0"/>
                    <c:showBubbleSize val="0"/>
                    <c:extLst>
                      <c:ext uri="{CE6537A1-D6FC-4f65-9D91-7224C49458BB}">
                        <c15:showDataLabelsRange val="0"/>
                      </c:ext>
                      <c:ext xmlns:c16="http://schemas.microsoft.com/office/drawing/2014/chart" uri="{C3380CC4-5D6E-409C-BE32-E72D297353CC}">
                        <c16:uniqueId val="{00000005-9705-43D7-AEBE-24DA64A2BC5A}"/>
                      </c:ext>
                    </c:extLst>
                  </c:dLbl>
                  <c:spPr>
                    <a:noFill/>
                    <a:ln>
                      <a:noFill/>
                    </a:ln>
                    <a:effectLst/>
                  </c:spPr>
                  <c:showLegendKey val="0"/>
                  <c:showVal val="1"/>
                  <c:showCatName val="0"/>
                  <c:showSerName val="0"/>
                  <c:showPercent val="0"/>
                  <c:showBubbleSize val="0"/>
                  <c:showLeaderLines val="1"/>
                  <c:extLst>
                    <c:ext uri="{CE6537A1-D6FC-4f65-9D91-7224C49458BB}"/>
                  </c:extLst>
                </c:dLbls>
                <c:cat>
                  <c:strRef>
                    <c:extLst>
                      <c:ext uri="{02D57815-91ED-43cb-92C2-25804820EDAC}">
                        <c15:formulaRef>
                          <c15:sqref>TOTALS!$A$18:$A$21</c15:sqref>
                        </c15:formulaRef>
                      </c:ext>
                    </c:extLst>
                    <c:strCache>
                      <c:ptCount val="4"/>
                      <c:pt idx="0">
                        <c:v>Food Waste</c:v>
                      </c:pt>
                      <c:pt idx="1">
                        <c:v>Landfills</c:v>
                      </c:pt>
                      <c:pt idx="2">
                        <c:v>Livestock, agriculture</c:v>
                      </c:pt>
                      <c:pt idx="3">
                        <c:v>Water Resource Recovery Facilities (WRRFs)</c:v>
                      </c:pt>
                    </c:strCache>
                  </c:strRef>
                </c:cat>
                <c:val>
                  <c:numRef>
                    <c:extLst>
                      <c:ext uri="{02D57815-91ED-43cb-92C2-25804820EDAC}">
                        <c15:formulaRef>
                          <c15:sqref>TOTALS!$F$18:$F$21</c15:sqref>
                        </c15:formulaRef>
                      </c:ext>
                    </c:extLst>
                    <c:numCache>
                      <c:formatCode>#,##0</c:formatCode>
                      <c:ptCount val="4"/>
                      <c:pt idx="0" formatCode="General">
                        <c:v>32</c:v>
                      </c:pt>
                      <c:pt idx="1">
                        <c:v>114</c:v>
                      </c:pt>
                      <c:pt idx="2">
                        <c:v>224</c:v>
                      </c:pt>
                      <c:pt idx="3">
                        <c:v>35</c:v>
                      </c:pt>
                    </c:numCache>
                  </c:numRef>
                </c:val>
                <c:extLst>
                  <c:ext xmlns:c16="http://schemas.microsoft.com/office/drawing/2014/chart" uri="{C3380CC4-5D6E-409C-BE32-E72D297353CC}">
                    <c16:uniqueId val="{00000008-9705-43D7-AEBE-24DA64A2BC5A}"/>
                  </c:ext>
                </c:extLst>
              </c15:ser>
            </c15:filteredPieSeries>
            <c15:filteredPieSeries>
              <c15:ser>
                <c:idx val="1"/>
                <c:order val="1"/>
                <c:cat>
                  <c:strRef>
                    <c:extLst xmlns:c15="http://schemas.microsoft.com/office/drawing/2012/chart">
                      <c:ext xmlns:c15="http://schemas.microsoft.com/office/drawing/2012/chart" uri="{02D57815-91ED-43cb-92C2-25804820EDAC}">
                        <c15:formulaRef>
                          <c15:sqref>TOTALS!$A$18:$A$21</c15:sqref>
                        </c15:formulaRef>
                      </c:ext>
                    </c:extLst>
                    <c:strCache>
                      <c:ptCount val="4"/>
                      <c:pt idx="0">
                        <c:v>Food Waste</c:v>
                      </c:pt>
                      <c:pt idx="1">
                        <c:v>Landfills</c:v>
                      </c:pt>
                      <c:pt idx="2">
                        <c:v>Livestock, agriculture</c:v>
                      </c:pt>
                      <c:pt idx="3">
                        <c:v>Water Resource Recovery Facilities (WRRFs)</c:v>
                      </c:pt>
                    </c:strCache>
                  </c:strRef>
                </c:cat>
                <c:val>
                  <c:numRef>
                    <c:extLst xmlns:c15="http://schemas.microsoft.com/office/drawing/2012/chart">
                      <c:ext xmlns:c15="http://schemas.microsoft.com/office/drawing/2012/chart" uri="{02D57815-91ED-43cb-92C2-25804820EDAC}">
                        <c15:formulaRef>
                          <c15:sqref>TOTALS!$C$18:$C$21</c15:sqref>
                        </c15:formulaRef>
                      </c:ext>
                    </c:extLst>
                    <c:numCache>
                      <c:formatCode>#,##0</c:formatCode>
                      <c:ptCount val="4"/>
                      <c:pt idx="0" formatCode="General">
                        <c:v>10</c:v>
                      </c:pt>
                      <c:pt idx="1">
                        <c:v>26</c:v>
                      </c:pt>
                      <c:pt idx="2">
                        <c:v>84</c:v>
                      </c:pt>
                      <c:pt idx="3">
                        <c:v>5</c:v>
                      </c:pt>
                    </c:numCache>
                  </c:numRef>
                </c:val>
                <c:extLst xmlns:c15="http://schemas.microsoft.com/office/drawing/2012/chart">
                  <c:ext xmlns:c16="http://schemas.microsoft.com/office/drawing/2014/chart" uri="{C3380CC4-5D6E-409C-BE32-E72D297353CC}">
                    <c16:uniqueId val="{00000011-690B-5D46-81D5-EA04D15E5088}"/>
                  </c:ext>
                </c:extLst>
              </c15:ser>
            </c15:filteredPieSeries>
          </c:ext>
        </c:extLst>
      </c:pieChart>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TOTALS!$B$17:$D$17</c:f>
              <c:strCache>
                <c:ptCount val="3"/>
                <c:pt idx="0">
                  <c:v>Operational
on 12/31/2023</c:v>
                </c:pt>
                <c:pt idx="1">
                  <c:v>Under Construction 
on 12/31/2023</c:v>
                </c:pt>
                <c:pt idx="2">
                  <c:v>Planned 
on 12/31/2023</c:v>
                </c:pt>
              </c:strCache>
            </c:strRef>
          </c:tx>
          <c:dPt>
            <c:idx val="0"/>
            <c:bubble3D val="0"/>
            <c:spPr>
              <a:solidFill>
                <a:srgbClr val="F2A16A"/>
              </a:solidFill>
              <a:ln w="19050">
                <a:solidFill>
                  <a:schemeClr val="lt1"/>
                </a:solidFill>
              </a:ln>
              <a:effectLst/>
            </c:spPr>
            <c:extLst>
              <c:ext xmlns:c16="http://schemas.microsoft.com/office/drawing/2014/chart" uri="{C3380CC4-5D6E-409C-BE32-E72D297353CC}">
                <c16:uniqueId val="{00000001-48E9-D349-84B0-C56AECD84BD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8E9-D349-84B0-C56AECD84B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E9-D349-84B0-C56AECD84BDD}"/>
              </c:ext>
            </c:extLst>
          </c:dPt>
          <c:dLbls>
            <c:dLbl>
              <c:idx val="0"/>
              <c:layout>
                <c:manualLayout>
                  <c:x val="-0.22489509137132252"/>
                  <c:y val="-0.10182225544298762"/>
                </c:manualLayout>
              </c:layout>
              <c:tx>
                <c:rich>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r>
                      <a:rPr lang="en-US" sz="1600"/>
                      <a:t>Operational, </a:t>
                    </a:r>
                    <a:fld id="{E79469DE-AEE3-44BC-A4C5-946384DF7AA5}" type="VALUE">
                      <a:rPr lang="en-US" sz="1600"/>
                      <a:pPr>
                        <a:defRPr sz="1600" b="1">
                          <a:solidFill>
                            <a:sysClr val="windowText" lastClr="000000"/>
                          </a:solidFill>
                        </a:defRPr>
                      </a:pPr>
                      <a:t>[VALUE]</a:t>
                    </a:fld>
                    <a:r>
                      <a:rPr lang="en-US" sz="1600" baseline="0"/>
                      <a:t>, </a:t>
                    </a:r>
                    <a:fld id="{09A93D6C-E454-43A7-926D-7D397E73FBE8}" type="PERCENTAGE">
                      <a:rPr lang="en-US" sz="1600" baseline="0"/>
                      <a:pPr>
                        <a:defRPr sz="1600" b="1">
                          <a:solidFill>
                            <a:sysClr val="windowText" lastClr="000000"/>
                          </a:solidFill>
                        </a:defRPr>
                      </a:pPr>
                      <a:t>[PERCENTAGE]</a:t>
                    </a:fld>
                    <a:endParaRPr lang="en-US" sz="1600" baseline="0"/>
                  </a:p>
                </c:rich>
              </c:tx>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569648817518506"/>
                      <c:h val="0.12739903826202184"/>
                    </c:manualLayout>
                  </c15:layout>
                  <c15:dlblFieldTable/>
                  <c15:showDataLabelsRange val="0"/>
                </c:ext>
                <c:ext xmlns:c16="http://schemas.microsoft.com/office/drawing/2014/chart" uri="{C3380CC4-5D6E-409C-BE32-E72D297353CC}">
                  <c16:uniqueId val="{00000001-48E9-D349-84B0-C56AECD84BDD}"/>
                </c:ext>
              </c:extLst>
            </c:dLbl>
            <c:dLbl>
              <c:idx val="1"/>
              <c:layout>
                <c:manualLayout>
                  <c:x val="0.21048569847335374"/>
                  <c:y val="-0.16716338813010603"/>
                </c:manualLayout>
              </c:layout>
              <c:tx>
                <c:rich>
                  <a:bodyPr rot="0" spcFirstLastPara="1" vertOverflow="ellipsis" vert="horz" wrap="square" lIns="38100" tIns="19050" rIns="38100" bIns="19050" anchor="ctr" anchorCtr="1">
                    <a:noAutofit/>
                  </a:bodyPr>
                  <a:lstStyle/>
                  <a:p>
                    <a:pPr>
                      <a:defRPr sz="1600" b="1" i="0" u="none" strike="noStrike" kern="1200" baseline="0">
                        <a:solidFill>
                          <a:sysClr val="windowText" lastClr="000000"/>
                        </a:solidFill>
                        <a:latin typeface="+mn-lt"/>
                        <a:ea typeface="+mn-ea"/>
                        <a:cs typeface="+mn-cs"/>
                      </a:defRPr>
                    </a:pPr>
                    <a:r>
                      <a:rPr lang="en-US" sz="1600"/>
                      <a:t>Under Construction, </a:t>
                    </a:r>
                    <a:fld id="{519F352E-EFD1-4850-A3A6-285F3A7BC2CB}" type="VALUE">
                      <a:rPr lang="en-US" sz="1600"/>
                      <a:pPr>
                        <a:defRPr sz="1600" b="1">
                          <a:solidFill>
                            <a:sysClr val="windowText" lastClr="000000"/>
                          </a:solidFill>
                        </a:defRPr>
                      </a:pPr>
                      <a:t>[VALUE]</a:t>
                    </a:fld>
                    <a:r>
                      <a:rPr lang="en-US" sz="1600" baseline="0"/>
                      <a:t>, </a:t>
                    </a:r>
                    <a:fld id="{9EAE4DC0-9809-438C-8C35-4D68722889FA}" type="PERCENTAGE">
                      <a:rPr lang="en-US" sz="1600" baseline="0"/>
                      <a:pPr>
                        <a:defRPr sz="1600" b="1">
                          <a:solidFill>
                            <a:sysClr val="windowText" lastClr="000000"/>
                          </a:solidFill>
                        </a:defRPr>
                      </a:pPr>
                      <a:t>[PERCENTAGE]</a:t>
                    </a:fld>
                    <a:endParaRPr lang="en-US" sz="1600" baseline="0"/>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304702199409353"/>
                      <c:h val="0.22565925702616807"/>
                    </c:manualLayout>
                  </c15:layout>
                  <c15:dlblFieldTable/>
                  <c15:showDataLabelsRange val="0"/>
                </c:ext>
                <c:ext xmlns:c16="http://schemas.microsoft.com/office/drawing/2014/chart" uri="{C3380CC4-5D6E-409C-BE32-E72D297353CC}">
                  <c16:uniqueId val="{00000003-48E9-D349-84B0-C56AECD84BDD}"/>
                </c:ext>
              </c:extLst>
            </c:dLbl>
            <c:dLbl>
              <c:idx val="2"/>
              <c:tx>
                <c:rich>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r>
                      <a:rPr lang="en-US" sz="1600"/>
                      <a:t>Planned,</a:t>
                    </a:r>
                    <a:r>
                      <a:rPr lang="en-US" sz="1600" baseline="0"/>
                      <a:t> </a:t>
                    </a:r>
                    <a:fld id="{1E637783-DED2-4189-A225-032DB1C91926}" type="VALUE">
                      <a:rPr lang="en-US" sz="1600"/>
                      <a:pPr>
                        <a:defRPr sz="1600" b="1">
                          <a:solidFill>
                            <a:sysClr val="windowText" lastClr="000000"/>
                          </a:solidFill>
                        </a:defRPr>
                      </a:pPr>
                      <a:t>[VALUE]</a:t>
                    </a:fld>
                    <a:r>
                      <a:rPr lang="en-US" sz="1600" baseline="0"/>
                      <a:t>, </a:t>
                    </a:r>
                    <a:fld id="{67828AB4-EC4E-491B-BD25-E60F0B13A282}" type="PERCENTAGE">
                      <a:rPr lang="en-US" sz="1600" baseline="0"/>
                      <a:pPr>
                        <a:defRPr sz="1600" b="1">
                          <a:solidFill>
                            <a:sysClr val="windowText" lastClr="000000"/>
                          </a:solidFill>
                        </a:defRPr>
                      </a:pPr>
                      <a:t>[PERCENTAGE]</a:t>
                    </a:fld>
                    <a:endParaRPr lang="en-US" sz="1600" baseline="0"/>
                  </a:p>
                </c:rich>
              </c:tx>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8E9-D349-84B0-C56AECD84BD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TOTALS!$B$22:$D$22</c:f>
              <c:numCache>
                <c:formatCode>#,##0</c:formatCode>
                <c:ptCount val="3"/>
                <c:pt idx="0" formatCode="General">
                  <c:v>305</c:v>
                </c:pt>
                <c:pt idx="1">
                  <c:v>125</c:v>
                </c:pt>
                <c:pt idx="2">
                  <c:v>111</c:v>
                </c:pt>
              </c:numCache>
              <c:extLst/>
            </c:numRef>
          </c:cat>
          <c:val>
            <c:numRef>
              <c:f>TOTALS!$B$22:$D$22</c:f>
              <c:numCache>
                <c:formatCode>#,##0</c:formatCode>
                <c:ptCount val="3"/>
                <c:pt idx="0" formatCode="General">
                  <c:v>305</c:v>
                </c:pt>
                <c:pt idx="1">
                  <c:v>125</c:v>
                </c:pt>
                <c:pt idx="2">
                  <c:v>111</c:v>
                </c:pt>
              </c:numCache>
              <c:extLst/>
            </c:numRef>
          </c:val>
          <c:extLst>
            <c:ext xmlns:c16="http://schemas.microsoft.com/office/drawing/2014/chart" uri="{C3380CC4-5D6E-409C-BE32-E72D297353CC}">
              <c16:uniqueId val="{00000006-48E9-D349-84B0-C56AECD84BDD}"/>
            </c:ext>
          </c:extLst>
        </c:ser>
        <c:ser>
          <c:idx val="1"/>
          <c:order val="1"/>
          <c:tx>
            <c:strRef>
              <c:f>TOTALS!$C$17</c:f>
              <c:strCache>
                <c:ptCount val="1"/>
                <c:pt idx="0">
                  <c:v>Under Construction 
on 12/31/2023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8E9-D349-84B0-C56AECD84B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8E9-D349-84B0-C56AECD84B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8E9-D349-84B0-C56AECD84B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E-48E9-D349-84B0-C56AECD84B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0-48E9-D349-84B0-C56AECD84BDD}"/>
              </c:ext>
            </c:extLst>
          </c:dPt>
          <c:cat>
            <c:numRef>
              <c:f>TOTALS!$B$22:$D$22</c:f>
              <c:numCache>
                <c:formatCode>#,##0</c:formatCode>
                <c:ptCount val="3"/>
                <c:pt idx="0" formatCode="General">
                  <c:v>305</c:v>
                </c:pt>
                <c:pt idx="1">
                  <c:v>125</c:v>
                </c:pt>
                <c:pt idx="2">
                  <c:v>111</c:v>
                </c:pt>
              </c:numCache>
              <c:extLst/>
            </c:numRef>
          </c:cat>
          <c:val>
            <c:numRef>
              <c:f>TOTALS!$C$18:$C$22</c:f>
              <c:numCache>
                <c:formatCode>#,##0</c:formatCode>
                <c:ptCount val="5"/>
                <c:pt idx="0" formatCode="General">
                  <c:v>10</c:v>
                </c:pt>
                <c:pt idx="1">
                  <c:v>26</c:v>
                </c:pt>
                <c:pt idx="2">
                  <c:v>84</c:v>
                </c:pt>
                <c:pt idx="3">
                  <c:v>5</c:v>
                </c:pt>
                <c:pt idx="4">
                  <c:v>125</c:v>
                </c:pt>
              </c:numCache>
            </c:numRef>
          </c:val>
          <c:extLst>
            <c:ext xmlns:c16="http://schemas.microsoft.com/office/drawing/2014/chart" uri="{C3380CC4-5D6E-409C-BE32-E72D297353CC}">
              <c16:uniqueId val="{00000011-48E9-D349-84B0-C56AECD84BDD}"/>
            </c:ext>
          </c:extLst>
        </c:ser>
        <c:ser>
          <c:idx val="2"/>
          <c:order val="2"/>
          <c:tx>
            <c:strRef>
              <c:f>TOTALS!$D$17</c:f>
              <c:strCache>
                <c:ptCount val="1"/>
                <c:pt idx="0">
                  <c:v>Planned 
on 12/31/2023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48E9-D349-84B0-C56AECD84B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48E9-D349-84B0-C56AECD84B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48E9-D349-84B0-C56AECD84B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48E9-D349-84B0-C56AECD84B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B-48E9-D349-84B0-C56AECD84BDD}"/>
              </c:ext>
            </c:extLst>
          </c:dPt>
          <c:cat>
            <c:numRef>
              <c:f>TOTALS!$B$22:$D$22</c:f>
              <c:numCache>
                <c:formatCode>#,##0</c:formatCode>
                <c:ptCount val="3"/>
                <c:pt idx="0" formatCode="General">
                  <c:v>305</c:v>
                </c:pt>
                <c:pt idx="1">
                  <c:v>125</c:v>
                </c:pt>
                <c:pt idx="2">
                  <c:v>111</c:v>
                </c:pt>
              </c:numCache>
              <c:extLst/>
            </c:numRef>
          </c:cat>
          <c:val>
            <c:numRef>
              <c:f>TOTALS!$D$18:$D$22</c:f>
              <c:numCache>
                <c:formatCode>#,##0</c:formatCode>
                <c:ptCount val="5"/>
                <c:pt idx="0" formatCode="General">
                  <c:v>20</c:v>
                </c:pt>
                <c:pt idx="1">
                  <c:v>34</c:v>
                </c:pt>
                <c:pt idx="2">
                  <c:v>52</c:v>
                </c:pt>
                <c:pt idx="3">
                  <c:v>5</c:v>
                </c:pt>
                <c:pt idx="4">
                  <c:v>111</c:v>
                </c:pt>
              </c:numCache>
            </c:numRef>
          </c:val>
          <c:extLst>
            <c:ext xmlns:c16="http://schemas.microsoft.com/office/drawing/2014/chart" uri="{C3380CC4-5D6E-409C-BE32-E72D297353CC}">
              <c16:uniqueId val="{0000001C-48E9-D349-84B0-C56AECD84BD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nchor="t" anchorCtr="0"/>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100" b="1" i="0">
                <a:solidFill>
                  <a:srgbClr val="000000"/>
                </a:solidFill>
                <a:latin typeface="+mn-lt"/>
              </a:defRPr>
            </a:pPr>
            <a:r>
              <a:rPr lang="en-US" sz="1100" b="1" i="0">
                <a:solidFill>
                  <a:srgbClr val="000000"/>
                </a:solidFill>
                <a:latin typeface="+mn-lt"/>
              </a:rPr>
              <a:t>Projected to 12/31/23: Operational Projects by End Use (305 Total)</a:t>
            </a:r>
          </a:p>
        </c:rich>
      </c:tx>
      <c:layout>
        <c:manualLayout>
          <c:xMode val="edge"/>
          <c:yMode val="edge"/>
          <c:x val="0.10717510338321003"/>
          <c:y val="4.0207574053243343E-2"/>
        </c:manualLayout>
      </c:layout>
      <c:overlay val="0"/>
    </c:title>
    <c:autoTitleDeleted val="0"/>
    <c:plotArea>
      <c:layout/>
      <c:pieChart>
        <c:varyColors val="1"/>
        <c:ser>
          <c:idx val="0"/>
          <c:order val="0"/>
          <c:dLbls>
            <c:dLbl>
              <c:idx val="1"/>
              <c:layout>
                <c:manualLayout>
                  <c:x val="-3.9193037835168809E-2"/>
                  <c:y val="-1.7698987626546682E-2"/>
                </c:manualLayout>
              </c:layout>
              <c:showLegendKey val="0"/>
              <c:showVal val="1"/>
              <c:showCatName val="1"/>
              <c:showSerName val="0"/>
              <c:showPercent val="1"/>
              <c:showBubbleSize val="0"/>
              <c:extLst>
                <c:ext xmlns:c15="http://schemas.microsoft.com/office/drawing/2012/chart" uri="{CE6537A1-D6FC-4f65-9D91-7224C49458BB}">
                  <c15:layout>
                    <c:manualLayout>
                      <c:w val="0.25545462160422527"/>
                      <c:h val="0.15142857142857144"/>
                    </c:manualLayout>
                  </c15:layout>
                </c:ext>
                <c:ext xmlns:c16="http://schemas.microsoft.com/office/drawing/2014/chart" uri="{C3380CC4-5D6E-409C-BE32-E72D297353CC}">
                  <c16:uniqueId val="{00000000-A7E7-1C40-8220-689C344B5EF6}"/>
                </c:ext>
              </c:extLst>
            </c:dLbl>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TOTALS!$C$29:$E$29</c:f>
              <c:strCache>
                <c:ptCount val="3"/>
                <c:pt idx="0">
                  <c:v>Pipeline (for vehicle, other)</c:v>
                </c:pt>
                <c:pt idx="1">
                  <c:v>Vehicle Fuel      (local use)</c:v>
                </c:pt>
                <c:pt idx="2">
                  <c:v>Both</c:v>
                </c:pt>
              </c:strCache>
            </c:strRef>
          </c:cat>
          <c:val>
            <c:numRef>
              <c:f>TOTALS!$C$34:$E$34</c:f>
              <c:numCache>
                <c:formatCode>#,##0</c:formatCode>
                <c:ptCount val="3"/>
                <c:pt idx="0">
                  <c:v>220</c:v>
                </c:pt>
                <c:pt idx="1">
                  <c:v>18</c:v>
                </c:pt>
                <c:pt idx="2">
                  <c:v>0</c:v>
                </c:pt>
              </c:numCache>
            </c:numRef>
          </c:val>
          <c:extLst>
            <c:ext xmlns:c16="http://schemas.microsoft.com/office/drawing/2014/chart" uri="{C3380CC4-5D6E-409C-BE32-E72D297353CC}">
              <c16:uniqueId val="{00000004-90C1-458E-AF06-0887460FE817}"/>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Projected to 12/31/23: Operational MMBTU/yr by Feedstock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1"/>
          <c:tx>
            <c:strRef>
              <c:f>TOTALS!$C$40</c:f>
              <c:strCache>
                <c:ptCount val="1"/>
                <c:pt idx="0">
                  <c:v>MMBTU/yr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5C-AC4B-B20C-9890DCFC3F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5C-AC4B-B20C-9890DCFC3F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5C-AC4B-B20C-9890DCFC3F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5C-AC4B-B20C-9890DCFC3F57}"/>
              </c:ext>
            </c:extLst>
          </c:dPt>
          <c:dLbls>
            <c:dLbl>
              <c:idx val="0"/>
              <c:layout>
                <c:manualLayout>
                  <c:x val="0.21722231554266386"/>
                  <c:y val="0.10104240314128501"/>
                </c:manualLayout>
              </c:layout>
              <c:tx>
                <c:rich>
                  <a:bodyPr/>
                  <a:lstStyle/>
                  <a:p>
                    <a:r>
                      <a:rPr lang="en-US">
                        <a:solidFill>
                          <a:sysClr val="windowText" lastClr="000000"/>
                        </a:solidFill>
                      </a:rPr>
                      <a:t> 13 Food Waste projects, </a:t>
                    </a:r>
                    <a:fld id="{2DCEC264-BD34-4A09-B6AA-A76DC37FC892}" type="VALUE">
                      <a:rPr lang="en-US">
                        <a:solidFill>
                          <a:sysClr val="windowText" lastClr="000000"/>
                        </a:solidFill>
                      </a:rPr>
                      <a:pPr/>
                      <a:t>[VALUE]</a:t>
                    </a:fld>
                    <a:r>
                      <a:rPr lang="en-US">
                        <a:solidFill>
                          <a:sysClr val="windowText" lastClr="000000"/>
                        </a:solidFill>
                      </a:rPr>
                      <a:t> MMBTU</a:t>
                    </a:r>
                  </a:p>
                  <a:p>
                    <a:endParaRPr lang="en-US"/>
                  </a:p>
                </c:rich>
              </c:tx>
              <c:showLegendKey val="0"/>
              <c:showVal val="1"/>
              <c:showCatName val="0"/>
              <c:showSerName val="0"/>
              <c:showPercent val="0"/>
              <c:showBubbleSize val="0"/>
              <c:extLst>
                <c:ext xmlns:c15="http://schemas.microsoft.com/office/drawing/2012/chart" uri="{CE6537A1-D6FC-4f65-9D91-7224C49458BB}">
                  <c15:layout>
                    <c:manualLayout>
                      <c:w val="0.24949325707005796"/>
                      <c:h val="0.19289651523804746"/>
                    </c:manualLayout>
                  </c15:layout>
                  <c15:dlblFieldTable/>
                  <c15:showDataLabelsRange val="0"/>
                </c:ext>
                <c:ext xmlns:c16="http://schemas.microsoft.com/office/drawing/2014/chart" uri="{C3380CC4-5D6E-409C-BE32-E72D297353CC}">
                  <c16:uniqueId val="{00000001-315C-AC4B-B20C-9890DCFC3F57}"/>
                </c:ext>
              </c:extLst>
            </c:dLbl>
            <c:dLbl>
              <c:idx val="1"/>
              <c:tx>
                <c:rich>
                  <a:bodyPr/>
                  <a:lstStyle/>
                  <a:p>
                    <a:r>
                      <a:rPr lang="en-US">
                        <a:solidFill>
                          <a:sysClr val="windowText" lastClr="000000"/>
                        </a:solidFill>
                      </a:rPr>
                      <a:t> 100 Landfill</a:t>
                    </a:r>
                    <a:r>
                      <a:rPr lang="en-US" baseline="0">
                        <a:solidFill>
                          <a:sysClr val="windowText" lastClr="000000"/>
                        </a:solidFill>
                      </a:rPr>
                      <a:t> projects</a:t>
                    </a:r>
                    <a:r>
                      <a:rPr lang="en-US">
                        <a:solidFill>
                          <a:sysClr val="windowText" lastClr="000000"/>
                        </a:solidFill>
                      </a:rPr>
                      <a:t>, </a:t>
                    </a:r>
                    <a:fld id="{4313CE42-E8A5-4F34-B4F5-27E49D49DADD}" type="VALUE">
                      <a:rPr lang="en-US">
                        <a:solidFill>
                          <a:sysClr val="windowText" lastClr="000000"/>
                        </a:solidFill>
                      </a:rPr>
                      <a:pPr/>
                      <a:t>[VALUE]</a:t>
                    </a:fld>
                    <a:r>
                      <a:rPr lang="en-US">
                        <a:solidFill>
                          <a:sysClr val="windowText" lastClr="000000"/>
                        </a:solidFill>
                      </a:rPr>
                      <a:t> MMBTU</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15C-AC4B-B20C-9890DCFC3F57}"/>
                </c:ext>
              </c:extLst>
            </c:dLbl>
            <c:dLbl>
              <c:idx val="2"/>
              <c:layout>
                <c:manualLayout>
                  <c:x val="0.13531306922883801"/>
                  <c:y val="0.18307561234288"/>
                </c:manualLayout>
              </c:layout>
              <c:tx>
                <c:rich>
                  <a:bodyPr/>
                  <a:lstStyle/>
                  <a:p>
                    <a:r>
                      <a:rPr lang="en-US">
                        <a:solidFill>
                          <a:sysClr val="windowText" lastClr="000000"/>
                        </a:solidFill>
                      </a:rPr>
                      <a:t> 163 Livestock/agriculture projects, </a:t>
                    </a:r>
                    <a:fld id="{1BAF2171-5EB6-41D1-8053-EA4AC942771E}" type="VALUE">
                      <a:rPr lang="en-US">
                        <a:solidFill>
                          <a:sysClr val="windowText" lastClr="000000"/>
                        </a:solidFill>
                      </a:rPr>
                      <a:pPr/>
                      <a:t>[VALUE]</a:t>
                    </a:fld>
                    <a:r>
                      <a:rPr lang="en-US">
                        <a:solidFill>
                          <a:sysClr val="windowText" lastClr="000000"/>
                        </a:solidFill>
                      </a:rPr>
                      <a:t> MMBTU</a:t>
                    </a:r>
                  </a:p>
                  <a:p>
                    <a:endParaRPr lang="en-US"/>
                  </a:p>
                </c:rich>
              </c:tx>
              <c:showLegendKey val="0"/>
              <c:showVal val="1"/>
              <c:showCatName val="0"/>
              <c:showSerName val="0"/>
              <c:showPercent val="0"/>
              <c:showBubbleSize val="0"/>
              <c:extLst>
                <c:ext xmlns:c15="http://schemas.microsoft.com/office/drawing/2012/chart" uri="{CE6537A1-D6FC-4f65-9D91-7224C49458BB}">
                  <c15:layout>
                    <c:manualLayout>
                      <c:w val="0.33738895783394507"/>
                      <c:h val="0.16981836007966464"/>
                    </c:manualLayout>
                  </c15:layout>
                  <c15:dlblFieldTable/>
                  <c15:showDataLabelsRange val="0"/>
                </c:ext>
                <c:ext xmlns:c16="http://schemas.microsoft.com/office/drawing/2014/chart" uri="{C3380CC4-5D6E-409C-BE32-E72D297353CC}">
                  <c16:uniqueId val="{00000005-315C-AC4B-B20C-9890DCFC3F57}"/>
                </c:ext>
              </c:extLst>
            </c:dLbl>
            <c:dLbl>
              <c:idx val="3"/>
              <c:layout>
                <c:manualLayout>
                  <c:x val="-0.21784992487450025"/>
                  <c:y val="8.3265517576333201E-2"/>
                </c:manualLayout>
              </c:layout>
              <c:tx>
                <c:rich>
                  <a:bodyPr/>
                  <a:lstStyle/>
                  <a:p>
                    <a:r>
                      <a:rPr lang="en-US">
                        <a:solidFill>
                          <a:sysClr val="windowText" lastClr="000000"/>
                        </a:solidFill>
                      </a:rPr>
                      <a:t> 29 WWRF projects, </a:t>
                    </a:r>
                    <a:fld id="{420321AA-DBFC-4DAD-ABE5-1B8FAE7F674B}" type="VALUE">
                      <a:rPr lang="en-US">
                        <a:solidFill>
                          <a:sysClr val="windowText" lastClr="000000"/>
                        </a:solidFill>
                      </a:rPr>
                      <a:pPr/>
                      <a:t>[VALUE]</a:t>
                    </a:fld>
                    <a:r>
                      <a:rPr lang="en-US">
                        <a:solidFill>
                          <a:sysClr val="windowText" lastClr="000000"/>
                        </a:solidFill>
                      </a:rPr>
                      <a:t> MMBTU</a:t>
                    </a:r>
                  </a:p>
                </c:rich>
              </c:tx>
              <c:showLegendKey val="0"/>
              <c:showVal val="1"/>
              <c:showCatName val="0"/>
              <c:showSerName val="0"/>
              <c:showPercent val="0"/>
              <c:showBubbleSize val="0"/>
              <c:extLst>
                <c:ext xmlns:c15="http://schemas.microsoft.com/office/drawing/2012/chart" uri="{CE6537A1-D6FC-4f65-9D91-7224C49458BB}">
                  <c15:layout>
                    <c:manualLayout>
                      <c:w val="0.29982712038122211"/>
                      <c:h val="0.15514446375184829"/>
                    </c:manualLayout>
                  </c15:layout>
                  <c15:dlblFieldTable/>
                  <c15:showDataLabelsRange val="0"/>
                </c:ext>
                <c:ext xmlns:c16="http://schemas.microsoft.com/office/drawing/2014/chart" uri="{C3380CC4-5D6E-409C-BE32-E72D297353CC}">
                  <c16:uniqueId val="{00000007-315C-AC4B-B20C-9890DCFC3F5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TOTALS!$A$41:$A$44</c:f>
              <c:strCache>
                <c:ptCount val="4"/>
                <c:pt idx="0">
                  <c:v>Food Waste</c:v>
                </c:pt>
                <c:pt idx="1">
                  <c:v>Landfills</c:v>
                </c:pt>
                <c:pt idx="2">
                  <c:v>Livestock, agriculture</c:v>
                </c:pt>
                <c:pt idx="3">
                  <c:v>WRRFs</c:v>
                </c:pt>
              </c:strCache>
            </c:strRef>
          </c:cat>
          <c:val>
            <c:numRef>
              <c:f>TOTALS!$C$41:$C$44</c:f>
              <c:numCache>
                <c:formatCode>#,##0</c:formatCode>
                <c:ptCount val="4"/>
                <c:pt idx="0">
                  <c:v>3267132.9959999998</c:v>
                </c:pt>
                <c:pt idx="1">
                  <c:v>73487936.630810007</c:v>
                </c:pt>
                <c:pt idx="2">
                  <c:v>27056544.084181625</c:v>
                </c:pt>
                <c:pt idx="3">
                  <c:v>4627925.0644739997</c:v>
                </c:pt>
              </c:numCache>
            </c:numRef>
          </c:val>
          <c:extLst>
            <c:ext xmlns:c16="http://schemas.microsoft.com/office/drawing/2014/chart" uri="{C3380CC4-5D6E-409C-BE32-E72D297353CC}">
              <c16:uniqueId val="{00000008-315C-AC4B-B20C-9890DCFC3F57}"/>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TOTALS!$B$40</c15:sqref>
                        </c15:formulaRef>
                      </c:ext>
                    </c:extLst>
                    <c:strCache>
                      <c:ptCount val="1"/>
                      <c:pt idx="0">
                        <c:v>Projects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315C-AC4B-B20C-9890DCFC3F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315C-AC4B-B20C-9890DCFC3F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315C-AC4B-B20C-9890DCFC3F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315C-AC4B-B20C-9890DCFC3F57}"/>
                    </c:ext>
                  </c:extLst>
                </c:dPt>
                <c:dLbls>
                  <c:dLbl>
                    <c:idx val="2"/>
                    <c:tx>
                      <c:rich>
                        <a:bodyPr/>
                        <a:lstStyle/>
                        <a:p>
                          <a:fld id="{15F41B81-1B1F-4FEA-9084-AAD8A2E07953}" type="CATEGORYNAME">
                            <a:rPr lang="en-US"/>
                            <a:pPr/>
                            <a:t>[CATEGORY NAME]</a:t>
                          </a:fld>
                          <a:r>
                            <a:rPr lang="en-US" baseline="0"/>
                            <a:t>, </a:t>
                          </a:r>
                          <a:fld id="{D8646EC5-2EA8-4A25-AF2C-E23B8F474E9C}" type="VALUE">
                            <a:rPr lang="en-US" baseline="0"/>
                            <a:pPr/>
                            <a:t>[VALUE]</a:t>
                          </a:fld>
                          <a:r>
                            <a:rPr lang="en-US" baseline="0"/>
                            <a:t> projects, 14,358,570 MMBTU</a:t>
                          </a:r>
                        </a:p>
                        <a:p>
                          <a:endParaRPr lang="en-US"/>
                        </a:p>
                      </c:rich>
                    </c:tx>
                    <c:showLegendKey val="0"/>
                    <c:showVal val="1"/>
                    <c:showCatName val="1"/>
                    <c:showSerName val="0"/>
                    <c:showPercent val="0"/>
                    <c:showBubbleSize val="0"/>
                    <c:extLst>
                      <c:ext uri="{CE6537A1-D6FC-4f65-9D91-7224C49458BB}">
                        <c15:dlblFieldTable/>
                        <c15:showDataLabelsRange val="0"/>
                      </c:ext>
                      <c:ext xmlns:c16="http://schemas.microsoft.com/office/drawing/2014/chart" uri="{C3380CC4-5D6E-409C-BE32-E72D297353CC}">
                        <c16:uniqueId val="{0000000E-315C-AC4B-B20C-9890DCFC3F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TOTALS!$A$41:$A$44</c15:sqref>
                        </c15:formulaRef>
                      </c:ext>
                    </c:extLst>
                    <c:strCache>
                      <c:ptCount val="4"/>
                      <c:pt idx="0">
                        <c:v>Food Waste</c:v>
                      </c:pt>
                      <c:pt idx="1">
                        <c:v>Landfills</c:v>
                      </c:pt>
                      <c:pt idx="2">
                        <c:v>Livestock, agriculture</c:v>
                      </c:pt>
                      <c:pt idx="3">
                        <c:v>WRRFs</c:v>
                      </c:pt>
                    </c:strCache>
                  </c:strRef>
                </c:cat>
                <c:val>
                  <c:numRef>
                    <c:extLst>
                      <c:ext uri="{02D57815-91ED-43cb-92C2-25804820EDAC}">
                        <c15:formulaRef>
                          <c15:sqref>TOTALS!$B$41:$B$44</c15:sqref>
                        </c15:formulaRef>
                      </c:ext>
                    </c:extLst>
                    <c:numCache>
                      <c:formatCode>#,##0</c:formatCode>
                      <c:ptCount val="4"/>
                      <c:pt idx="0">
                        <c:v>13</c:v>
                      </c:pt>
                      <c:pt idx="1">
                        <c:v>100</c:v>
                      </c:pt>
                      <c:pt idx="2">
                        <c:v>163</c:v>
                      </c:pt>
                      <c:pt idx="3">
                        <c:v>29</c:v>
                      </c:pt>
                    </c:numCache>
                  </c:numRef>
                </c:val>
                <c:extLst>
                  <c:ext xmlns:c16="http://schemas.microsoft.com/office/drawing/2014/chart" uri="{C3380CC4-5D6E-409C-BE32-E72D297353CC}">
                    <c16:uniqueId val="{00000011-315C-AC4B-B20C-9890DCFC3F57}"/>
                  </c:ext>
                </c:extLst>
              </c15:ser>
            </c15:filteredPieSeries>
          </c:ext>
        </c:extLst>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2023 Operational Projects (305 Total)</a:t>
            </a:r>
          </a:p>
          <a:p>
            <a:pPr>
              <a:defRPr b="1">
                <a:solidFill>
                  <a:sysClr val="windowText" lastClr="000000"/>
                </a:solidFill>
              </a:defRPr>
            </a:pP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pieChart>
        <c:varyColors val="1"/>
        <c:ser>
          <c:idx val="0"/>
          <c:order val="0"/>
          <c:dPt>
            <c:idx val="0"/>
            <c:bubble3D val="0"/>
            <c:spPr>
              <a:solidFill>
                <a:srgbClr val="F4B083"/>
              </a:solidFill>
              <a:ln w="19050">
                <a:solidFill>
                  <a:schemeClr val="lt1"/>
                </a:solidFill>
              </a:ln>
              <a:effectLst/>
            </c:spPr>
            <c:extLst>
              <c:ext xmlns:c16="http://schemas.microsoft.com/office/drawing/2014/chart" uri="{C3380CC4-5D6E-409C-BE32-E72D297353CC}">
                <c16:uniqueId val="{00000001-DE5A-E844-8410-15413F3FFE9D}"/>
              </c:ext>
            </c:extLst>
          </c:dPt>
          <c:dPt>
            <c:idx val="1"/>
            <c:bubble3D val="0"/>
            <c:spPr>
              <a:solidFill>
                <a:srgbClr val="7F7F7F"/>
              </a:solidFill>
              <a:ln w="19050">
                <a:solidFill>
                  <a:schemeClr val="lt1"/>
                </a:solidFill>
              </a:ln>
              <a:effectLst/>
            </c:spPr>
            <c:extLst>
              <c:ext xmlns:c16="http://schemas.microsoft.com/office/drawing/2014/chart" uri="{C3380CC4-5D6E-409C-BE32-E72D297353CC}">
                <c16:uniqueId val="{00000003-DE5A-E844-8410-15413F3FFE9D}"/>
              </c:ext>
            </c:extLst>
          </c:dPt>
          <c:dPt>
            <c:idx val="2"/>
            <c:bubble3D val="0"/>
            <c:spPr>
              <a:solidFill>
                <a:srgbClr val="A8D08D"/>
              </a:solidFill>
              <a:ln w="19050">
                <a:solidFill>
                  <a:schemeClr val="lt1"/>
                </a:solidFill>
              </a:ln>
              <a:effectLst/>
            </c:spPr>
            <c:extLst>
              <c:ext xmlns:c16="http://schemas.microsoft.com/office/drawing/2014/chart" uri="{C3380CC4-5D6E-409C-BE32-E72D297353CC}">
                <c16:uniqueId val="{00000005-DE5A-E844-8410-15413F3FFE9D}"/>
              </c:ext>
            </c:extLst>
          </c:dPt>
          <c:dPt>
            <c:idx val="3"/>
            <c:bubble3D val="0"/>
            <c:spPr>
              <a:solidFill>
                <a:srgbClr val="B4C6E7"/>
              </a:solidFill>
              <a:ln w="19050">
                <a:solidFill>
                  <a:schemeClr val="lt1"/>
                </a:solidFill>
              </a:ln>
              <a:effectLst/>
            </c:spPr>
            <c:extLst>
              <c:ext xmlns:c16="http://schemas.microsoft.com/office/drawing/2014/chart" uri="{C3380CC4-5D6E-409C-BE32-E72D297353CC}">
                <c16:uniqueId val="{00000007-DE5A-E844-8410-15413F3FFE9D}"/>
              </c:ext>
            </c:extLst>
          </c:dPt>
          <c:dLbls>
            <c:dLbl>
              <c:idx val="0"/>
              <c:layout>
                <c:manualLayout>
                  <c:x val="0.10471057784911376"/>
                  <c:y val="9.274785663261299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E5A-E844-8410-15413F3FFE9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TOTALS!$A$18:$A$21</c:f>
              <c:strCache>
                <c:ptCount val="4"/>
                <c:pt idx="0">
                  <c:v>Food Waste</c:v>
                </c:pt>
                <c:pt idx="1">
                  <c:v>Landfills</c:v>
                </c:pt>
                <c:pt idx="2">
                  <c:v>Livestock, agriculture</c:v>
                </c:pt>
                <c:pt idx="3">
                  <c:v>Water Resource Recovery Facilities (WRRFs)</c:v>
                </c:pt>
              </c:strCache>
            </c:strRef>
          </c:cat>
          <c:val>
            <c:numRef>
              <c:f>TOTALS!$B$18:$B$21</c:f>
              <c:numCache>
                <c:formatCode>#,##0</c:formatCode>
                <c:ptCount val="4"/>
                <c:pt idx="0" formatCode="General">
                  <c:v>13</c:v>
                </c:pt>
                <c:pt idx="1">
                  <c:v>100</c:v>
                </c:pt>
                <c:pt idx="2">
                  <c:v>163</c:v>
                </c:pt>
                <c:pt idx="3">
                  <c:v>29</c:v>
                </c:pt>
              </c:numCache>
            </c:numRef>
          </c:val>
          <c:extLst>
            <c:ext xmlns:c16="http://schemas.microsoft.com/office/drawing/2014/chart" uri="{C3380CC4-5D6E-409C-BE32-E72D297353CC}">
              <c16:uniqueId val="{00000008-DE5A-E844-8410-15413F3FFE9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a:softEdge rad="152400"/>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16</xdr:col>
      <xdr:colOff>304801</xdr:colOff>
      <xdr:row>2</xdr:row>
      <xdr:rowOff>185140</xdr:rowOff>
    </xdr:from>
    <xdr:ext cx="5495364" cy="2989486"/>
    <xdr:graphicFrame macro="">
      <xdr:nvGraphicFramePr>
        <xdr:cNvPr id="804949914" name="Chart 2">
          <a:extLst>
            <a:ext uri="{FF2B5EF4-FFF2-40B4-BE49-F238E27FC236}">
              <a16:creationId xmlns:a16="http://schemas.microsoft.com/office/drawing/2014/main" id="{00000000-0008-0000-0C00-00009A8FFA2F}"/>
            </a:ext>
            <a:ext uri="{147F2762-F138-4A5C-976F-8EAC2B608ADB}">
              <a16:predDERef xmlns:a16="http://schemas.microsoft.com/office/drawing/2014/main" pred="{00000000-0008-0000-0700-0000F3BD1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27</xdr:col>
      <xdr:colOff>158191</xdr:colOff>
      <xdr:row>2</xdr:row>
      <xdr:rowOff>213581</xdr:rowOff>
    </xdr:from>
    <xdr:ext cx="5490592" cy="2987634"/>
    <xdr:graphicFrame macro="">
      <xdr:nvGraphicFramePr>
        <xdr:cNvPr id="4" name="Chart 3">
          <a:extLst>
            <a:ext uri="{FF2B5EF4-FFF2-40B4-BE49-F238E27FC236}">
              <a16:creationId xmlns:a16="http://schemas.microsoft.com/office/drawing/2014/main" id="{00000000-0008-0000-0C00-000004000000}"/>
            </a:ext>
            <a:ext uri="{147F2762-F138-4A5C-976F-8EAC2B608ADB}">
              <a16:predDERef xmlns:a16="http://schemas.microsoft.com/office/drawing/2014/main" pred="{00000000-0008-0000-0700-00009A8FF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xdr:from>
      <xdr:col>8</xdr:col>
      <xdr:colOff>508161</xdr:colOff>
      <xdr:row>2</xdr:row>
      <xdr:rowOff>205483</xdr:rowOff>
    </xdr:from>
    <xdr:to>
      <xdr:col>11</xdr:col>
      <xdr:colOff>1762685</xdr:colOff>
      <xdr:row>23</xdr:row>
      <xdr:rowOff>28015</xdr:rowOff>
    </xdr:to>
    <xdr:graphicFrame macro="">
      <xdr:nvGraphicFramePr>
        <xdr:cNvPr id="6" name="Chart 5" title="Projects by Status ">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601024</xdr:colOff>
      <xdr:row>22</xdr:row>
      <xdr:rowOff>243789</xdr:rowOff>
    </xdr:from>
    <xdr:ext cx="5177919" cy="3096592"/>
    <xdr:graphicFrame macro="">
      <xdr:nvGraphicFramePr>
        <xdr:cNvPr id="41" name="Chart 8">
          <a:extLst>
            <a:ext uri="{FF2B5EF4-FFF2-40B4-BE49-F238E27FC236}">
              <a16:creationId xmlns:a16="http://schemas.microsoft.com/office/drawing/2014/main" id="{00000000-0008-0000-0C00-000029000000}"/>
            </a:ext>
            <a:ext uri="{147F2762-F138-4A5C-976F-8EAC2B608ADB}">
              <a16:predDERef xmlns:a16="http://schemas.microsoft.com/office/drawing/2014/main" pred="{00000000-0008-0000-0700-000034367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twoCellAnchor>
    <xdr:from>
      <xdr:col>12</xdr:col>
      <xdr:colOff>80413</xdr:colOff>
      <xdr:row>22</xdr:row>
      <xdr:rowOff>282813</xdr:rowOff>
    </xdr:from>
    <xdr:to>
      <xdr:col>15</xdr:col>
      <xdr:colOff>771606</xdr:colOff>
      <xdr:row>37</xdr:row>
      <xdr:rowOff>17751</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138545</xdr:colOff>
      <xdr:row>2</xdr:row>
      <xdr:rowOff>207818</xdr:rowOff>
    </xdr:from>
    <xdr:to>
      <xdr:col>15</xdr:col>
      <xdr:colOff>1108365</xdr:colOff>
      <xdr:row>22</xdr:row>
      <xdr:rowOff>221672</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0.22857</cdr:x>
      <cdr:y>0.01587</cdr:y>
    </cdr:from>
    <cdr:to>
      <cdr:x>0.81637</cdr:x>
      <cdr:y>0.13492</cdr:y>
    </cdr:to>
    <cdr:sp macro="" textlink="">
      <cdr:nvSpPr>
        <cdr:cNvPr id="2" name="TextBox 1"/>
        <cdr:cNvSpPr txBox="1"/>
      </cdr:nvSpPr>
      <cdr:spPr>
        <a:xfrm xmlns:a="http://schemas.openxmlformats.org/drawingml/2006/main">
          <a:off x="1124648" y="43544"/>
          <a:ext cx="2892180" cy="3265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solidFill>
                <a:sysClr val="windowText" lastClr="000000"/>
              </a:solidFill>
            </a:rPr>
            <a:t>2023 Projects by Status (542 total)</a:t>
          </a:r>
          <a:r>
            <a:rPr lang="en-US" sz="1100" b="1">
              <a:solidFill>
                <a:sysClr val="windowText" lastClr="000000"/>
              </a:solidFill>
            </a:rPr>
            <a:t> </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Users/vos/Desktop/Energy%20Vision/Advisory%20services/ANL%20database%20project/2021%20update/Complete%20database/2021%20update%20as%20of%2012.20.21%20for%20M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 val="OVERVIEW"/>
      <sheetName val="Food Waste"/>
      <sheetName val="Landfills"/>
      <sheetName val="Livestock, agriculture"/>
      <sheetName val="WRRFs"/>
      <sheetName val="Electric for vehicle charging"/>
      <sheetName val="TOTALS"/>
      <sheetName val="OPERATIONAL PROJECTS LIST"/>
      <sheetName val="Reference Notes"/>
      <sheetName val="CONTACT INFO"/>
    </sheetNames>
    <sheetDataSet>
      <sheetData sheetId="0" refreshError="1"/>
      <sheetData sheetId="1"/>
      <sheetData sheetId="2"/>
      <sheetData sheetId="3"/>
      <sheetData sheetId="4"/>
      <sheetData sheetId="5"/>
      <sheetData sheetId="6"/>
      <sheetData sheetId="7"/>
      <sheetData sheetId="8"/>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Phil Vos" id="{7D7BC40B-2CBD-447D-8D67-6EC105DE9B0D}" userId="f5a579f28c5f9cc9"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96" dT="2021-07-21T13:08:27.81" personId="{7D7BC40B-2CBD-447D-8D67-6EC105DE9B0D}" id="{DB68A10F-2DF5-4FD4-ABF1-FE5BD5C668F8}" done="1">
    <text>I don't know if you're saving it for later, but please remember to move projects that have changed status to the appropriate section of the worksheet</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mailto:Tomich@energy-vision.org" TargetMode="External"/><Relationship Id="rId1" Type="http://schemas.openxmlformats.org/officeDocument/2006/relationships/hyperlink" Target="mailto:mmintz@anl.gov"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businessinsider.com/philadelphia-refiner-machine-turns-food-scraps-into-natural-gas-2018-8%20https:/www.inquirer.com/business/energy/philly-refinery-pes-renewable-gas-plans-scrapped-20200211.html" TargetMode="External"/><Relationship Id="rId13" Type="http://schemas.openxmlformats.org/officeDocument/2006/relationships/hyperlink" Target="https://www.rngenergysolutions.com/" TargetMode="External"/><Relationship Id="rId3" Type="http://schemas.openxmlformats.org/officeDocument/2006/relationships/hyperlink" Target="http://www.energy.ca.gov/2017publications/CEC-500-2017-021/CEC-500-2017-021.pdf%20%20%20%20%20%20%20https:/www.ucdavis.edu/news/biodigester-turns-campus-waste-campus-energy%20https:/americanbiogascouncil.org/projectProfiles/ucdavis_to_print.pdf" TargetMode="External"/><Relationship Id="rId7" Type="http://schemas.openxmlformats.org/officeDocument/2006/relationships/hyperlink" Target="https://www.businesswire.com/news/home/20210804006006/en/UGI-and-Synthica-Energy-Partner-to-Develop-Renewable-Natural-Gas" TargetMode="External"/><Relationship Id="rId12" Type="http://schemas.openxmlformats.org/officeDocument/2006/relationships/hyperlink" Target="https://www.guildassociates.com/guild-associates-and-greengasusa-to-expand-mccall-farms-project/" TargetMode="External"/><Relationship Id="rId2" Type="http://schemas.openxmlformats.org/officeDocument/2006/relationships/hyperlink" Target="https://www.bioenergy-news.com/news/green-era-bp-partner-to-sell-rng-produced-via-chicago-ad-project/" TargetMode="External"/><Relationship Id="rId1" Type="http://schemas.openxmlformats.org/officeDocument/2006/relationships/hyperlink" Target="http://www.americanbiogascouncil.org/projectprofiles/southsanfranciscoca.pdf" TargetMode="External"/><Relationship Id="rId6" Type="http://schemas.openxmlformats.org/officeDocument/2006/relationships/hyperlink" Target="http://www.northbaybusinessjournal.com/csp/mediapool/sites/NBBJ/IndustryNews/story.csp?cid=4179855&amp;sid=778&amp;fid=181" TargetMode="External"/><Relationship Id="rId11" Type="http://schemas.openxmlformats.org/officeDocument/2006/relationships/hyperlink" Target="https://madison.com/ct/news/local/govt-and-politics/report-food-scraps-digester-project-could-be-feasible-at-yahara-hills-golf-course/article_15bf2574-450b-5d52-9b92-4cfc12bfa4fc.html" TargetMode="External"/><Relationship Id="rId5" Type="http://schemas.openxmlformats.org/officeDocument/2006/relationships/hyperlink" Target="https://www.arb.ca.gov/fuels/lcfs/workgroups/lcfssustain/tisher.pdf" TargetMode="External"/><Relationship Id="rId10" Type="http://schemas.openxmlformats.org/officeDocument/2006/relationships/hyperlink" Target="https://www.globenewswire.com/news-release/2022/11/01/2545827/0/en/3-Rivers-Energy-Partners-Announces-Project-With-Jack-Daniel-s-to-Convert-Spent-Distillers-Grains-Into-Renewable-Natural-Gas-and-Natural-Commercial-Fertilizer.html" TargetMode="External"/><Relationship Id="rId4" Type="http://schemas.openxmlformats.org/officeDocument/2006/relationships/hyperlink" Target="https://www.waste360.com/anaerobic-digestion/bioenergy-devco-advances-expansion-plans%0ahttps:/www.prnewswire.com/news-releases/bioenergy-devco-to-purchase-perdue-agrirecycle-organic-soil-composting-facility-in-delaware-300962924.html" TargetMode="External"/><Relationship Id="rId9" Type="http://schemas.openxmlformats.org/officeDocument/2006/relationships/hyperlink" Target="https://globalnews.ca/news/9945552/enbridge-divert-break-ground-renewable-fuel-facility-washington/" TargetMode="Externa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oberlinreview.org/26178/news/construction-to-start-on-new-edl-landfill-gas-plant/" TargetMode="External"/><Relationship Id="rId18" Type="http://schemas.openxmlformats.org/officeDocument/2006/relationships/hyperlink" Target="http://blueridgelandfill.com/%20%20http:/site.republicservices.com/corporate/planet/renewableenergy/landfill-gas-energy.aspx%20%20%20https:/morrowenergy.com/where-we-operate.html" TargetMode="External"/><Relationship Id="rId26" Type="http://schemas.openxmlformats.org/officeDocument/2006/relationships/hyperlink" Target="https://www.airliquide.com/group/press-releases-news/2022-02-03/air-liquide-build-usa-its-largest-biomethane-production-unit-world" TargetMode="External"/><Relationship Id="rId39" Type="http://schemas.openxmlformats.org/officeDocument/2006/relationships/hyperlink" Target="https://investors.opalfuels.com/news-releases/news-release-details/south-jersey-industries-and-opal-fuels-announce-signing" TargetMode="External"/><Relationship Id="rId21" Type="http://schemas.openxmlformats.org/officeDocument/2006/relationships/hyperlink" Target="https://www.businesswire.com/news/home/20200917005237/en/New-Ohio-based-Renewable-Fuel-Project-Aims-to-Capture-the-Equivalent-of-Nearly-50K-Tons-of-Carbon-to-Displace-Diesel-and-Fuel-725-Biofuel-Trucks%20https:/www.nsenergybusiness.com/news/fortistar-rumpke-to-begin-noble-road-landfill-rng-project-in-ohio/" TargetMode="External"/><Relationship Id="rId34" Type="http://schemas.openxmlformats.org/officeDocument/2006/relationships/hyperlink" Target="http://edocs.deq.nc.gov/WasteManagement/0/edoc/1215656/1403_INSP_20180627.pdf%20%20https:/files.nc.gov/ncdeq/Air%20Quality/permits/2019_public_notice_documents/permit_reviews/20190520_Republic_rev.pdf" TargetMode="External"/><Relationship Id="rId42" Type="http://schemas.openxmlformats.org/officeDocument/2006/relationships/hyperlink" Target="https://www.suffolknewsherald.com/2023/10/25/spsa-terreva-celebrates-new-renewable-gas-facility/" TargetMode="External"/><Relationship Id="rId47" Type="http://schemas.openxmlformats.org/officeDocument/2006/relationships/hyperlink" Target="https://waga-energy.com/en/key-component-of-rng-production-plant-delivered-to-steuben-county-landfill/" TargetMode="External"/><Relationship Id="rId50" Type="http://schemas.openxmlformats.org/officeDocument/2006/relationships/comments" Target="../comments1.xml"/><Relationship Id="rId7" Type="http://schemas.openxmlformats.org/officeDocument/2006/relationships/hyperlink" Target="http://www.lacsd.org/solidwaste/swfacilities/landfills/puente_hills/" TargetMode="External"/><Relationship Id="rId2" Type="http://schemas.openxmlformats.org/officeDocument/2006/relationships/hyperlink" Target="about:blank" TargetMode="External"/><Relationship Id="rId16" Type="http://schemas.openxmlformats.org/officeDocument/2006/relationships/hyperlink" Target="https://nrswa.org/new-river-rng-project/" TargetMode="External"/><Relationship Id="rId29" Type="http://schemas.openxmlformats.org/officeDocument/2006/relationships/hyperlink" Target="https://wcfcourier.com/news/local/black-hawk-county-landfill-renewable-gas/article_5618b486-36df-11ee-94f7-23487b951524.html" TargetMode="External"/><Relationship Id="rId11" Type="http://schemas.openxmlformats.org/officeDocument/2006/relationships/hyperlink" Target="https://wastebits.com/locator/location/modern-landfill-recycling%20https:/www.yorkdispatch.com/story/news/2019/12/16/lower-windsor-twp-residents-resist-republic-services-landfill-expansion/4407764002/%0ahttps:/www.dep.pa.gov/Business/Land/Waste/SolidWaste/MunicipalWaste/Landfill-Methane-Outreach-Program/Pages/PA-Landfill-Methane-Projects.aspx" TargetMode="External"/><Relationship Id="rId24" Type="http://schemas.openxmlformats.org/officeDocument/2006/relationships/hyperlink" Target="http://www.edf-re.com/project/imperial-landfill-biogas/%20%20%20http:/site.republicservices.com/corporate/planet/renewableenergy/landfill-gas-energy.aspx%20%20https:/www.businesswire.com/news/home/20190402005372/en/Fortistar-Acquires-Two-Renewable-Natural-Gas-RNG-Facilities-in-Pennsylvania" TargetMode="External"/><Relationship Id="rId32" Type="http://schemas.openxmlformats.org/officeDocument/2006/relationships/hyperlink" Target="https://www.businesswire.com/news/home/20230809819469/en/Vision-RNG-and-Meridian-Waste-Announce-Landfill-Gas-to-Renewable-Natural-Gas-Project-First-in-Missouri" TargetMode="External"/><Relationship Id="rId37" Type="http://schemas.openxmlformats.org/officeDocument/2006/relationships/hyperlink" Target="https://energyneeringsolutions.com/projects/" TargetMode="External"/><Relationship Id="rId40" Type="http://schemas.openxmlformats.org/officeDocument/2006/relationships/hyperlink" Target="https://www.sec.gov/Archives/edgar/data/1842279/000184227923000090/opalfuelsq32023earningsrel.htm" TargetMode="External"/><Relationship Id="rId45" Type="http://schemas.openxmlformats.org/officeDocument/2006/relationships/hyperlink" Target="https://www.chesterfieldobserver.com/articles/proposed-biogas-facility-at-shoosmith-landfill-promises-to-cut-the-smell-and-the-carbon-footprint/" TargetMode="External"/><Relationship Id="rId5" Type="http://schemas.openxmlformats.org/officeDocument/2006/relationships/hyperlink" Target="https://www.wmsolutions.com/locations/details/id/93%20%20%20https:/www.wmsolutions.com/pdf-tracker/index/id/23/campaignType/28%20%20%20https:/www.ugicorp.com/news-releases/news-release-details/ugi-utilities-signs-first-agreement-bring-significant-renewable" TargetMode="External"/><Relationship Id="rId15" Type="http://schemas.openxmlformats.org/officeDocument/2006/relationships/hyperlink" Target="https://www.archaeaenergy.com/projects" TargetMode="External"/><Relationship Id="rId23" Type="http://schemas.openxmlformats.org/officeDocument/2006/relationships/hyperlink" Target="http://www.omaha.com/news/metro/company-wants-to-refine-sell-methane-gas-at-old-state/article_4759dc06-602b-5aa1-84ea-878cd2bdd7ff.html" TargetMode="External"/><Relationship Id="rId28" Type="http://schemas.openxmlformats.org/officeDocument/2006/relationships/hyperlink" Target="https://businessjournaldaily.com/edl-launches-100m-renewable-energy-plant-in-poland/" TargetMode="External"/><Relationship Id="rId36" Type="http://schemas.openxmlformats.org/officeDocument/2006/relationships/hyperlink" Target="https://neabsconews.org/2023/01/25/renewable-natural-gas-project-at-county-landfill/" TargetMode="External"/><Relationship Id="rId49" Type="http://schemas.openxmlformats.org/officeDocument/2006/relationships/vmlDrawing" Target="../drawings/vmlDrawing1.vml"/><Relationship Id="rId10" Type="http://schemas.openxmlformats.org/officeDocument/2006/relationships/hyperlink" Target="https://www.wastetodaymagazine.com/article/maui-county-anaergia-renewable-waste/%20%0ahttps:/www.anaergia.com/maui-waste-to-renewable-fuel%20%0ahttps:/www.hawaiipublicradio.org/post/waste-energy-plants-stalled-maui-county-while-landfills-approach-capacity" TargetMode="External"/><Relationship Id="rId19" Type="http://schemas.openxmlformats.org/officeDocument/2006/relationships/hyperlink" Target="https://wastebits.com/locator/location/tessman-road-landfill%20%20https:/ofmpub.epa.gov/frs_public2/fii_query_detail.disp_program_facility?p_registry_id=110002371781%20%20%20https://sanantonioreport.org/waste-gas-from-landfill-will-offset-up-to-75-of-vias-bus-fuel-demand/" TargetMode="External"/><Relationship Id="rId31" Type="http://schemas.openxmlformats.org/officeDocument/2006/relationships/hyperlink" Target="https://www.wmsolutions.com/pdf-tracker/index/id/63/campaignType/28" TargetMode="External"/><Relationship Id="rId44" Type="http://schemas.openxmlformats.org/officeDocument/2006/relationships/hyperlink" Target="https://www.kindermorgan.com/ETV/KM-RNG/Leaders-in-RNG-Development/Renewable-Gas-Assets" TargetMode="External"/><Relationship Id="rId4" Type="http://schemas.openxmlformats.org/officeDocument/2006/relationships/hyperlink" Target="https://ensoplastics.com/theblog/?p=3069%20%20https://www.scsengineers.com/scs-project-case-stu/scs-energy-lfg-to-pipeline-rng-plant-in-texas/" TargetMode="External"/><Relationship Id="rId9" Type="http://schemas.openxmlformats.org/officeDocument/2006/relationships/hyperlink" Target="http://www.scsengineers.com/scs-press-release/scs-engineers-wins-city-of-san-diego-contracts-for-landfill-gas-system-operation-monitoring-and-maintenance-and-methaneghg-emissions/" TargetMode="External"/><Relationship Id="rId14" Type="http://schemas.openxmlformats.org/officeDocument/2006/relationships/hyperlink" Target="http://cambrianenergy.com/%20%20http:/www.northjersey.com/story/news/bergen/2016/09/29/methane-gas-collection-to-begin-again-at-1e-landfill/93030232/%20%20%20http:/www.savannahenergyllc.com/%20https:/www.epa.gov/sites/production/files/2017-07/underconsplannedlmopdata.xlsx%20%20http:/www.lowersaucontownship.org/lfminutes/tcc.3rdquarter2020.pdf" TargetMode="External"/><Relationship Id="rId22" Type="http://schemas.openxmlformats.org/officeDocument/2006/relationships/hyperlink" Target="https://www.shreveportla.gov/487/Landfills" TargetMode="External"/><Relationship Id="rId27" Type="http://schemas.openxmlformats.org/officeDocument/2006/relationships/hyperlink" Target="https://www.postcrescent.com/story/news/local/2021/02/22/mas-energy-build-25-million-power-plant-outagamie-county-landfill/6752686002/%20%20%20https:/dnr.wi.gov/sotw/GetShwimsActivityDetail.do?sid=11292000&amp;ac=022&amp;lic=14914&amp;crumb=0" TargetMode="External"/><Relationship Id="rId30" Type="http://schemas.openxmlformats.org/officeDocument/2006/relationships/hyperlink" Target="https://www.icthomasson.com/markets/projects/process-crowder-renewable-natural-gas-landfill-projects" TargetMode="External"/><Relationship Id="rId35" Type="http://schemas.openxmlformats.org/officeDocument/2006/relationships/hyperlink" Target="https://www.kenbridgevictoriadispatch.com/2023/02/16/lunenburg-landfill-turns-trash-into-clean-energy/" TargetMode="External"/><Relationship Id="rId43" Type="http://schemas.openxmlformats.org/officeDocument/2006/relationships/hyperlink" Target="https://www.wastetodaymagazine.com/news/ameresco-landfill-gas-to-rng-plant-starts-operations-at-republic-landfill/" TargetMode="External"/><Relationship Id="rId48" Type="http://schemas.openxmlformats.org/officeDocument/2006/relationships/printerSettings" Target="../printerSettings/printerSettings2.bin"/><Relationship Id="rId8" Type="http://schemas.openxmlformats.org/officeDocument/2006/relationships/hyperlink" Target="https://www.wmsolutions.com/pdf/factsheet/Simi_Valley_Landfill.pdf" TargetMode="External"/><Relationship Id="rId51" Type="http://schemas.microsoft.com/office/2017/10/relationships/threadedComment" Target="../threadedComments/threadedComment1.xml"/><Relationship Id="rId3" Type="http://schemas.openxmlformats.org/officeDocument/2006/relationships/hyperlink" Target="https://dtevantage.com/project/pinnacle-gas-producers/" TargetMode="External"/><Relationship Id="rId12" Type="http://schemas.openxmlformats.org/officeDocument/2006/relationships/hyperlink" Target="https://ensoplastics.com/theblog/?p=3069%20https://williamsoncountylandfill.wm.com/index.jsp" TargetMode="External"/><Relationship Id="rId17" Type="http://schemas.openxmlformats.org/officeDocument/2006/relationships/hyperlink" Target="http://kingcounty.gov/depts/dnrp/solid-waste/facilities/landfills/cedarhills.aspx%20%20%20%20http:/kingcounty.gov/depts/dnrp/solid-waste/facilities/landfills/landfill-gas.aspx%20https:/www.epa.gov/sites/default/files/2021-02/documents/lmop_rng_document.pdf" TargetMode="External"/><Relationship Id="rId25" Type="http://schemas.openxmlformats.org/officeDocument/2006/relationships/hyperlink" Target="http://montaukenergy.com/operations/mccarty/" TargetMode="External"/><Relationship Id="rId33" Type="http://schemas.openxmlformats.org/officeDocument/2006/relationships/hyperlink" Target="https://www.wastetodaymagazine.com/news/gfl-opal-fuels-arbor-hills-michigan-landfill-rng-facility-opening/" TargetMode="External"/><Relationship Id="rId38" Type="http://schemas.openxmlformats.org/officeDocument/2006/relationships/hyperlink" Target="https://naturalheritage.illinois.gov/content/dam/soi/en/web/naturalheritage/permits/documents/ita-conservation-plans/conservation-plans/267-cp.pdf" TargetMode="External"/><Relationship Id="rId46" Type="http://schemas.openxmlformats.org/officeDocument/2006/relationships/hyperlink" Target="https://morrowenergy.com/about/case-studies/corpus-christi-renewables-transforming-landfill-gas-into-clean-renewable-natural-gas/https:/news.cctexas.com/news/landfill-gas-project-expands-to-j-c-elliott-landfill" TargetMode="External"/><Relationship Id="rId20" Type="http://schemas.openxmlformats.org/officeDocument/2006/relationships/hyperlink" Target="https://www.wmsolutions.com/locations/details/id/145%20%20%20http:/www.courier-journal.com/story/tech/science/environment/2017/02/09/louisville-landfill-capture-sell-its-methane/97656292/%20%20https:/www.bizjournals.com/louisville/news/2018/06/05/waste-management-makes-a-power-play-with-30.html" TargetMode="External"/><Relationship Id="rId41" Type="http://schemas.openxmlformats.org/officeDocument/2006/relationships/hyperlink" Target="https://www.opinion-tribune.com/news/mills-county-landfill-gas-being-processed-renewable-energy" TargetMode="External"/><Relationship Id="rId1" Type="http://schemas.openxmlformats.org/officeDocument/2006/relationships/hyperlink" Target="https://www.globenewswire.com/news-release/2019/09/05/1911345/0/en/SCS-Energy-Breaks-Ground-on-Indy-Landfill-Gas-to-RNG-Plant.html%0ahttps:/www.wishtv.com/news/inside-indiana-business/ribbon-cutting-set-for-indy-rng-plant/%0a%0ahttps:/www.wfyi.org/news/articles/construction-complete-at-indy-high-btu-states-largest-renewable-natural-gas-plant%0ahttps:/www.environmentalleader.com/2020/03/indiana-plant-to-convert-methane-into-8-million-gallons-of-renewable-natural-gas-each-year/%0ahttps:/www.wthr.com/article/project-completed-states-largest-renewable-natural-gas-plant%20https:/edlenergy.com/project/indy-high-btu-renewable-natural-gas-plant/" TargetMode="External"/><Relationship Id="rId6" Type="http://schemas.openxmlformats.org/officeDocument/2006/relationships/hyperlink" Target="https://www.cngc.com/cascade-natural-gas-pine-creek-rng-lamb-weston-richland-partner-on-renewable-natural-gas-project/"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corporate.perduefarms.com/news/press-releases/perdue-farms-extends-partnership-with-greengasusa/" TargetMode="External"/><Relationship Id="rId21" Type="http://schemas.openxmlformats.org/officeDocument/2006/relationships/hyperlink" Target="https://www.hollandsentinel.com/story/business/agricultural/2022/04/28/company-turn-west-michigan-farm-manure-into-vehicle-gas/9552008002/" TargetMode="External"/><Relationship Id="rId42" Type="http://schemas.openxmlformats.org/officeDocument/2006/relationships/hyperlink" Target="http://montaukenergy.com/operations/pico-energy/%20%20%0ahttps:/www.vanguardlawmag.com/case-studies/james-jamie-wallace-montauk-energy/%0ahttp:/www.rngcoalition.com/news/2018/10/31/montauk-energy-acquires-pico-energy%0ahttps:/www.globenewswire.com/news-release/2021/06/15/2247115/0/en/Montauk-Renewables-Inc-Expands-Dairy-Digester-RNG-Project.html%20%0ahttps:/ir.montaukrenewables.com/news-releases/news-release-details/montauk-renewables-inc-expands-agricultural-waste-segment" TargetMode="External"/><Relationship Id="rId47" Type="http://schemas.openxmlformats.org/officeDocument/2006/relationships/hyperlink" Target="http://biomassmagazine.com/articles/14827/%20%20%20https:/www.cdfa.ca.gov/oefi/ddrdp/docs/2017_DDRDP_ProjectsAwarded.pdf%20/%20https:/www.cdfa.ca.gov/oefi/DDRDP/docs/DDRDP_Project_Level_Data.pdfhttps:/www.cdfa.ca.gov/oefi/DDRDP/docs/DDRDP_Project_Level_Data.pdf" TargetMode="External"/><Relationship Id="rId63" Type="http://schemas.openxmlformats.org/officeDocument/2006/relationships/hyperlink" Target="https://www.cdfa.ca.gov/oefi/ddrdp/docs/2018_DDRDP_ProjectsAwarded.pdf%20https:/www.cdfa.ca.gov/oefi/DDRDP/docs/DDRDP_Project_Level_Data.pdf" TargetMode="External"/><Relationship Id="rId68" Type="http://schemas.openxmlformats.org/officeDocument/2006/relationships/hyperlink" Target="http://biomassmagazine.com/articles/14827/%20%20%20https:/www.cdfa.ca.gov/oefi/ddrdp/docs/2017_DDRDP_ProjectsAwarded.pdf%20https:/www.cdfa.ca.gov/oefi/DDRDP/docs/DDRDP_Project_Level_Data.pdf" TargetMode="External"/><Relationship Id="rId16" Type="http://schemas.openxmlformats.org/officeDocument/2006/relationships/hyperlink" Target="https://sports.yahoo.com/sji-rev-lng-break-ground-210300636.html" TargetMode="External"/><Relationship Id="rId11" Type="http://schemas.openxmlformats.org/officeDocument/2006/relationships/hyperlink" Target="https://www.cdfa.ca.gov/oefi/ddrdp/docs/2022_DDRDP_ApplicationsReceived.pdf" TargetMode="External"/><Relationship Id="rId24" Type="http://schemas.openxmlformats.org/officeDocument/2006/relationships/hyperlink" Target="https://pinecreekrng.com/projects/lamb-weston/" TargetMode="External"/><Relationship Id="rId32" Type="http://schemas.openxmlformats.org/officeDocument/2006/relationships/hyperlink" Target="https://www.northernbiogas.com/portfolio" TargetMode="External"/><Relationship Id="rId37" Type="http://schemas.openxmlformats.org/officeDocument/2006/relationships/hyperlink" Target="https://microgridknowledge.com/entech-microgrid-renewable-natural-gas/" TargetMode="External"/><Relationship Id="rId40" Type="http://schemas.openxmlformats.org/officeDocument/2006/relationships/hyperlink" Target="https://www.businesswire.com/news/home/20210907005130/en/UGI-and-Global-Common-Energy-Add-a-Second-Renewable-Natural-Gas-Project-in-Upstate-New-York" TargetMode="External"/><Relationship Id="rId45" Type="http://schemas.openxmlformats.org/officeDocument/2006/relationships/hyperlink" Target="https://www.cdfa.ca.gov/oefi/ddrdp/docs/2018_DDRDP_ProjectsAwarded.pdf%20https:/www.cdfa.ca.gov/oefi/DDRDP/docs/DDRDP_Project_Level_Data.pdf" TargetMode="External"/><Relationship Id="rId53" Type="http://schemas.openxmlformats.org/officeDocument/2006/relationships/hyperlink" Target="https://www.cdfa.ca.gov/oefi/ddrdp/docs/2018_DDRDP_ProjectsAwarded.pdf%20https:/www.cdfa.ca.gov/oefi/DDRDP/docs/DDRDP_Project_Level_Data.pdf" TargetMode="External"/><Relationship Id="rId58" Type="http://schemas.openxmlformats.org/officeDocument/2006/relationships/hyperlink" Target="http://www.biomassmagazine.com/articles/16347/brightmark-energy-acquires-wisconsin-dairy-biogas-project%0ahttps:/www.brightmarkenergy.com/demeterproject%20%0ahttps:/www.businesswire.com/news/home/20190725005163/en/Brightmark-Energy-Acquires-Wisconsin-Dairy-Biogas-Project%0ahttp:/www.biomassmagazine.com/articles/17132/dane-county-rng-station-receives-biogas-shipment-from-brightmark" TargetMode="External"/><Relationship Id="rId66" Type="http://schemas.openxmlformats.org/officeDocument/2006/relationships/hyperlink" Target="https://www.cdfa.ca.gov/oefi/ddrdp/docs/2018_DDRDP_ProjectsAwarded.pdf%20https:/www.cdfa.ca.gov/oefi/DDRDP/docs/DDRDP_Project_Level_Data.pdf" TargetMode="External"/><Relationship Id="rId74" Type="http://schemas.openxmlformats.org/officeDocument/2006/relationships/hyperlink" Target="https://www.cdfa.ca.gov/oefi/ddrdp/docs/2018_DDRDP_ProjectsAwarded.pdf%20%7C%7C%20https:/www.cdfa.ca.gov/oefi/DDRDP/docs/DDRDP_Project_Level_Data.pdf" TargetMode="External"/><Relationship Id="rId5" Type="http://schemas.openxmlformats.org/officeDocument/2006/relationships/hyperlink" Target="http://biomassmagazine.com/articles/14827/%20%20%20https:/www.cdfa.ca.gov/oefi/ddrdp/docs/2017_DDRDP_ProjectsAwarded.pdf%20https:/www.cdfa.ca.gov/oefi/DDRDP/docs/DDRDP_Project_Level_Data.pdf" TargetMode="External"/><Relationship Id="rId61" Type="http://schemas.openxmlformats.org/officeDocument/2006/relationships/hyperlink" Target="http://biomassmagazine.com/articles/9859/camco-clean-energy-completes-acquisition-of-idaho-facility%20https:/www.camcorenewables.com/agpower-jerome-1%0ahttps:/www.camco.energy/ag-power-jerome-us/%0ahttp:/biomassmagazine.com/articles/12619/camco-reaches-agreement-to-sell-2-idaho-biogas-projects" TargetMode="External"/><Relationship Id="rId19" Type="http://schemas.openxmlformats.org/officeDocument/2006/relationships/hyperlink" Target="http://montaukenergy.com/operations/pico-energy/" TargetMode="External"/><Relationship Id="rId14" Type="http://schemas.openxmlformats.org/officeDocument/2006/relationships/hyperlink" Target="https://www.dynamicgrp.us/ash-grove-dairy" TargetMode="External"/><Relationship Id="rId22" Type="http://schemas.openxmlformats.org/officeDocument/2006/relationships/hyperlink" Target="https://www.wastetodaymagazine.com/news/brightmark-chevron-joint-venture-five-anaerobic-digestion-farm-projects-michigan/" TargetMode="External"/><Relationship Id="rId27" Type="http://schemas.openxmlformats.org/officeDocument/2006/relationships/hyperlink" Target="https://electricenergyonline.com/article/energy/category/biofuel/83/1034486/montauk-renewables-inc-announces-agreements-expanding-waste-to-renewable-energy-in-north-carolina.html" TargetMode="External"/><Relationship Id="rId30" Type="http://schemas.openxmlformats.org/officeDocument/2006/relationships/hyperlink" Target="http://starbioenergy.com/huntington/" TargetMode="External"/><Relationship Id="rId35" Type="http://schemas.openxmlformats.org/officeDocument/2006/relationships/hyperlink" Target="https://www.novillarng.com/projects-2" TargetMode="External"/><Relationship Id="rId43" Type="http://schemas.openxmlformats.org/officeDocument/2006/relationships/hyperlink" Target="https://www.mainepublic.org/post/maine-natural-gas-company-wants-turn-cow-manure-renewable-energy%0ahttps:/bangordailynews.com/2019/05/23/business/maine-natural-gas-company-has-big-plans-to-turn-cow-manure-into-renewable-energy/%0ahttps:/americanbiogascouncil.org/summit-begins-offering-customers-renewable-choice-in-maine/%20https:/www.centralmaine.com/2019/05/23/cow-power-maine-natural-gas-company-partnering-with-clinton-dairy-farms-to-convert-manure-to-biogas-for-heating-cooking/" TargetMode="External"/><Relationship Id="rId48" Type="http://schemas.openxmlformats.org/officeDocument/2006/relationships/hyperlink" Target="https://www.cdfa.ca.gov/oefi/ddrdp/docs/2018_DDRDP_ProjectsAwarded.pdf%20https:/www.cdfa.ca.gov/oefi/DDRDP/docs/DDRDP_Project_Level_Data.pdf" TargetMode="External"/><Relationship Id="rId56" Type="http://schemas.openxmlformats.org/officeDocument/2006/relationships/hyperlink" Target="https://www.usgain.com/news/u-s-gain-secures-rng-offtake-agreement-with-holsum-dairies/%20https:/psc.wi.gov/Documents/OEI/EnergyInnovationSummit/Bob%20Nagel.pdf%20https:/bioenergyinternational.com/biogas/u-s-gain-secures-rng-off-take-deal-with-holsum-dairies%0ahttps:/www.bioenergy-news.com/news/u-s-gain-secures-rng-offtake-agreement-with-holsum-dairies/?MvBriefArticleId=3707" TargetMode="External"/><Relationship Id="rId64" Type="http://schemas.openxmlformats.org/officeDocument/2006/relationships/hyperlink" Target="https://www.cdfa.ca.gov/oefi/ddrdp/docs/2018_DDRDP_ProjectsAwarded.pdf%20https:/www.cdfa.ca.gov/oefi/DDRDP/docs/DDRDP_Project_Level_Data.pdf" TargetMode="External"/><Relationship Id="rId69" Type="http://schemas.openxmlformats.org/officeDocument/2006/relationships/hyperlink" Target="http://biomassmagazine.com/articles/14827/%20%20%20https:/www.cdfa.ca.gov/oefi/ddrdp/docs/2017_DDRDP_ProjectsAwarded.pdf%20https:/www.cdfa.ca.gov/oefi/DDRDP/docs/DDRDP_Project_Level_Data.pdf" TargetMode="External"/><Relationship Id="rId77" Type="http://schemas.openxmlformats.org/officeDocument/2006/relationships/printerSettings" Target="../printerSettings/printerSettings3.bin"/><Relationship Id="rId8" Type="http://schemas.openxmlformats.org/officeDocument/2006/relationships/hyperlink" Target="http://www.capitalpress.com/SpecialSections/Dairy/20140609/dairy-farm-grows-with-the-family" TargetMode="External"/><Relationship Id="rId51" Type="http://schemas.openxmlformats.org/officeDocument/2006/relationships/hyperlink" Target="https://www.cdfa.ca.gov/oefi/ddrdp/docs/2018_DDRDP_ProjectsAwarded.pdf%20https:/www.cdfa.ca.gov/oefi/DDRDP/docs/DDRDP_Project_Level_Data.pdf" TargetMode="External"/><Relationship Id="rId72" Type="http://schemas.openxmlformats.org/officeDocument/2006/relationships/hyperlink" Target="http://biomassmagazine.com/articles/14827/%20%20%20https:/www.cdfa.ca.gov/oefi/ddrdp/docs/2017_DDRDP_ProjectsAwarded.pdf%20/%20%20https:/www.cdfa.ca.gov/oefi/DDRDP/docs/DDRDP_Project_Level_Data.pdfhttps:/www.cdfa.ca.gov/oefi/DDRDP/docs/DDRDP_Project_Level_Data.pdf" TargetMode="External"/><Relationship Id="rId3" Type="http://schemas.openxmlformats.org/officeDocument/2006/relationships/hyperlink" Target="https://www.cdfa.ca.gov/oefi/ddrdp/docs/2019-DDRDP_ApplicationsAwarded.pdf%20%7C%7C%20https:/www.cdfa.ca.gov/oefi/DDRDP/docs/DDRDP_Project_Level_Data.pdf" TargetMode="External"/><Relationship Id="rId12" Type="http://schemas.openxmlformats.org/officeDocument/2006/relationships/hyperlink" Target="https://www.novillarng.com/projects-2" TargetMode="External"/><Relationship Id="rId17" Type="http://schemas.openxmlformats.org/officeDocument/2006/relationships/hyperlink" Target="https://www.prnewswire.com/news-releases/chesapeake-utilities-corporation-to-develop-its-first-rng-facility-in-florida-301751834.html" TargetMode="External"/><Relationship Id="rId25" Type="http://schemas.openxmlformats.org/officeDocument/2006/relationships/hyperlink" Target="https://www.iowafarmbureau.com/Article/Dairies-partner-to-provide-natural-gas-to-Sioux-Center" TargetMode="External"/><Relationship Id="rId33" Type="http://schemas.openxmlformats.org/officeDocument/2006/relationships/hyperlink" Target="https://corporate.perduefarms.com/news/press-releases/perdue-farms-announces-partnership-with-greengasusa/" TargetMode="External"/><Relationship Id="rId38" Type="http://schemas.openxmlformats.org/officeDocument/2006/relationships/hyperlink" Target="https://www.brightmark.com/renewable-natural-gas/projects/the-helios-project" TargetMode="External"/><Relationship Id="rId46" Type="http://schemas.openxmlformats.org/officeDocument/2006/relationships/hyperlink" Target="https://www.shell.us/about-us/projects-and-locations/shell-new-energies-junction-city--biomethane-facility.html" TargetMode="External"/><Relationship Id="rId59" Type="http://schemas.openxmlformats.org/officeDocument/2006/relationships/hyperlink" Target="http://biomassmagazine.com/articles/16642/north-american-rng-industry-celebrates-new-production-facilities%20https:/sustainability.jbssa.com/stories/first-ever-swine-to-rng-project-in-texas/%20%0ahttps:/ally-energy.com/" TargetMode="External"/><Relationship Id="rId67" Type="http://schemas.openxmlformats.org/officeDocument/2006/relationships/hyperlink" Target="https://www.cdfa.ca.gov/oefi/ddrdp/docs/2018_DDRDP_ProjectsAwarded.pdf%20%7C%7C%20https:/www.cdfa.ca.gov/oefi/DDRDP/docs/DDRDP_Project_Level_Data.pdf" TargetMode="External"/><Relationship Id="rId20" Type="http://schemas.openxmlformats.org/officeDocument/2006/relationships/hyperlink" Target="https://www.hollandsentinel.com/story/business/agricultural/2022/04/28/company-turn-west-michigan-farm-manure-into-vehicle-gas/9552008002/" TargetMode="External"/><Relationship Id="rId41" Type="http://schemas.openxmlformats.org/officeDocument/2006/relationships/hyperlink" Target="https://www.biogest.at/" TargetMode="External"/><Relationship Id="rId54" Type="http://schemas.openxmlformats.org/officeDocument/2006/relationships/hyperlink" Target="https://www.cdfa.ca.gov/oefi/ddrdp/docs/2018_DDRDP_ProjectsAwarded.pdf%20https:/www.cdfa.ca.gov/oefi/DDRDP/docs/DDRDP_Project_Level_Data.pdf" TargetMode="External"/><Relationship Id="rId62" Type="http://schemas.openxmlformats.org/officeDocument/2006/relationships/hyperlink" Target="http://biomassmagazine.com/articles/9859/camco-clean-energy-completes-acquisition-of-idaho-facilityhttps:/www.camcorenewables.com/agpower-jerome-1%20http:/biomassmagazine.com/articles/12619/camco-reaches-agreement-to-sell-2-idaho-biogas-projects%20%7C%7C%20https:/www.camcorenewables.com/agpower-jerome-1%20%7C%7C%20http:/www.rngcoalition.com/news/2015/11/17/camco-to-sell-us-biogas-assets" TargetMode="External"/><Relationship Id="rId70" Type="http://schemas.openxmlformats.org/officeDocument/2006/relationships/hyperlink" Target="http://biomassmagazine.com/articles/14827/%20%20%20%0ahttps:/www.cdfa.ca.gov/oefi/ddrdp/docs/2017_DDRDP_ProjectsAwarded.pdf%20%0awww.cdfa.ca.gov/oefi/DDRDP/docs/DDRDP_Project_Level_Data.pdf%20%0ahttps:/www.maasenergy.com/digesters" TargetMode="External"/><Relationship Id="rId75" Type="http://schemas.openxmlformats.org/officeDocument/2006/relationships/hyperlink" Target="http://www.awma-goldenempire.org/store/files/61.pdf%0ahttps:/www.socalgas.com/1443741246975/Meeting-the-Methane-reduction-challenge_WestCoastAdv.pdfhttp:/4c-global.com/2017/06/13/lakeview-farms-anaerobic-digester/http:/kerncountyenergysummit.com/assets/neil-black-calbio_kern-energy-summit---11-8-17_final.pdfhttps:/www.bakersfield.com/news/state-awards-million-to-help-harness-biogas-at-kern-dairies/article_3bdf7a87-223f-5121-bea6-c0365fecd1e1.htmlhttp:/calbioenergy.com/projects/%20https:/www.cdfa.ca.gov/oefi/DDRDP/docs/DDRDP_Project_Level_Data.pdf" TargetMode="External"/><Relationship Id="rId1" Type="http://schemas.openxmlformats.org/officeDocument/2006/relationships/hyperlink" Target="https://www.cdfa.ca.gov/oefi/ddrdp/docs/2019-DDRDP_ApplicationsAwarded.pdf%20%7C%7C%20https:/www.cdfa.ca.gov/oefi/DDRDP/docs/DDRDP_Project_Level_Data.pdf" TargetMode="External"/><Relationship Id="rId6" Type="http://schemas.openxmlformats.org/officeDocument/2006/relationships/hyperlink" Target="https://bioenergyinternational.com/biogas/gess-breaks-ground-on-two-new-biogas-plants-in-north-carolina" TargetMode="External"/><Relationship Id="rId15" Type="http://schemas.openxmlformats.org/officeDocument/2006/relationships/hyperlink" Target="https://alignrng.com/projects.aspx" TargetMode="External"/><Relationship Id="rId23" Type="http://schemas.openxmlformats.org/officeDocument/2006/relationships/hyperlink" Target="https://www.mymalonetelegram.com/top_stories/45-million-expansion-project-at-malone-dairy-farm-has-eco-friendly-features/article_f4988726-b738-5f70-adc8-91c4a22e237b.html" TargetMode="External"/><Relationship Id="rId28" Type="http://schemas.openxmlformats.org/officeDocument/2006/relationships/hyperlink" Target="https://www.northernbiogas.com/portfolio" TargetMode="External"/><Relationship Id="rId36" Type="http://schemas.openxmlformats.org/officeDocument/2006/relationships/hyperlink" Target="https://aligneddigesters.com/dairies/" TargetMode="External"/><Relationship Id="rId49" Type="http://schemas.openxmlformats.org/officeDocument/2006/relationships/hyperlink" Target="https://www.cdfa.ca.gov/oefi/ddrdp/docs/2018_DDRDP_ProjectsAwarded.pdf%20https:/www.cdfa.ca.gov/oefi/DDRDP/docs/DDRDP_Project_Level_Data.pdf" TargetMode="External"/><Relationship Id="rId57" Type="http://schemas.openxmlformats.org/officeDocument/2006/relationships/hyperlink" Target="https://dtepowerandindustrial.com/project/calumet-renewable-energy-under-construction/%0ahttps:/www.prnewswire.com/news-releases/dte-biomass-energy-opens-first-renewable-natural-gas-processing-and-interstate-injection-site-in-wisconsin-300917162.html%0ahttps:/www.cargilldairydreams.com/en/another-set-of-eyes-really-makes-the-difference%0ahttps:/www.agweb.com/article/farm-wisconsin-discovery-center-opens-barn-doors/%0ahttps:/hoards.com/article-25225-dte-biomass-energy-commissions-first-dairy-renewable-natural-gas-project-in-wisconsin.html%20https:/electricenergyonline.com/article/energy/category/generation/52/800286/dte-s-waste-to-energy-initiative-wins-american-biogas-council-s-dairy-project-of-the-year.html" TargetMode="External"/><Relationship Id="rId10" Type="http://schemas.openxmlformats.org/officeDocument/2006/relationships/hyperlink" Target="https://www.sierrarenewables.com/vanderschaaf" TargetMode="External"/><Relationship Id="rId31" Type="http://schemas.openxmlformats.org/officeDocument/2006/relationships/hyperlink" Target="https://lfbioenergy.com/lf-bioenergy-commences-new-digester-construction/" TargetMode="External"/><Relationship Id="rId44" Type="http://schemas.openxmlformats.org/officeDocument/2006/relationships/hyperlink" Target="https://www.biogest.at/" TargetMode="External"/><Relationship Id="rId52" Type="http://schemas.openxmlformats.org/officeDocument/2006/relationships/hyperlink" Target="https://www.cdfa.ca.gov/oefi/ddrdp/docs/2018_DDRDP_ProjectsAwarded.pdf%20https:/www.cdfa.ca.gov/oefi/DDRDP/docs/DDRDP_Project_Level_Data.pdf" TargetMode="External"/><Relationship Id="rId60" Type="http://schemas.openxmlformats.org/officeDocument/2006/relationships/hyperlink" Target="http://kmrskkok.com/2018/08/08/biogas-proposal/%0ahttps:/www.startribune.com/bio-methane-from-cow-manure-could-be-a-new-gold-rush-on-the-farm/567314422/%20%0ahttp:/kmrskkok.com/2020/07/10/biogas-pipeline-update-2/%20%0ahttps:/www.nny360.com/communitynews/business/new-gold-rush-for-large-farms-turning-cow-manure-into-biomethane/article_930a1077-46f4-5a77-b4fe-07b64b96b98b.html" TargetMode="External"/><Relationship Id="rId65" Type="http://schemas.openxmlformats.org/officeDocument/2006/relationships/hyperlink" Target="http://biomassmagazine.com/articles/14827/%20%20%20https:/www.cdfa.ca.gov/oefi/ddrdp/docs/2017_DDRDP_ProjectsAwarded.pdf%20www.cdfa.ca.gov/oefi/DDRDP/docs/DDRDP_Project_Level_Data.pdf%20https:/www.maasenergy.com/digesters" TargetMode="External"/><Relationship Id="rId73" Type="http://schemas.openxmlformats.org/officeDocument/2006/relationships/hyperlink" Target="https://www.cdfa.ca.gov/oefi/ddrdp/docs/2018_DDRDP_ProjectsAwarded.pdf%20%20https:/www.cdfa.ca.gov/oefi/DDRDP/docs/DDRDP_Project_Level_Data.pdf%20https:/www.maasenergy.com/digesters" TargetMode="External"/><Relationship Id="rId4" Type="http://schemas.openxmlformats.org/officeDocument/2006/relationships/hyperlink" Target="https://bioenergyinternational.com/biogas/gess-breaks-ground-on-two-new-biogas-plants-in-north-carolina" TargetMode="External"/><Relationship Id="rId9" Type="http://schemas.openxmlformats.org/officeDocument/2006/relationships/hyperlink" Target="https://www.bioohio.com/item/quasar-energy-group-llc-buckeye-biogas/" TargetMode="External"/><Relationship Id="rId13" Type="http://schemas.openxmlformats.org/officeDocument/2006/relationships/hyperlink" Target="https://www.renewableom.com/single-project" TargetMode="External"/><Relationship Id="rId18" Type="http://schemas.openxmlformats.org/officeDocument/2006/relationships/hyperlink" Target="https://www.dynamic-renewables.com/phase1-projects" TargetMode="External"/><Relationship Id="rId39" Type="http://schemas.openxmlformats.org/officeDocument/2006/relationships/hyperlink" Target="https://dtepowerandindustrial.com/project/dakota-plains-renewable-energy-under-construction/" TargetMode="External"/><Relationship Id="rId34" Type="http://schemas.openxmlformats.org/officeDocument/2006/relationships/hyperlink" Target="https://www.novillarng.com/projects-2" TargetMode="External"/><Relationship Id="rId50" Type="http://schemas.openxmlformats.org/officeDocument/2006/relationships/hyperlink" Target="https://www.cdfa.ca.gov/oefi/ddrdp/docs/2018_DDRDP_ProjectsAwarded.pdf%20https:/www.cdfa.ca.gov/oefi/DDRDP/docs/DDRDP_Project_Level_Data.pdf" TargetMode="External"/><Relationship Id="rId55" Type="http://schemas.openxmlformats.org/officeDocument/2006/relationships/hyperlink" Target="https://www.cdfa.ca.gov/oefi/ddrdp/docs/2018_DDRDP_ProjectsAwarded.pdf%20/%0a%20https:/www.cdfa.ca.gov/oefi/DDRDP/docs/DDRDP_Project_Level_Data.pdf" TargetMode="External"/><Relationship Id="rId76" Type="http://schemas.openxmlformats.org/officeDocument/2006/relationships/hyperlink" Target="https://www.cdfa.ca.gov/oefi/ddrdp/docs/2018_DDRDP_ProjectsAwarded.pdf%20%20%0ahttps:/www.cdfa.ca.gov/oefi/DDRDP/docs/DDRDP_Project_Level_Data.pdf" TargetMode="External"/><Relationship Id="rId7" Type="http://schemas.openxmlformats.org/officeDocument/2006/relationships/hyperlink" Target="https://411.info/business/West-Point-Farm-Wendell-ID-11329171" TargetMode="External"/><Relationship Id="rId71" Type="http://schemas.openxmlformats.org/officeDocument/2006/relationships/hyperlink" Target="https://www.dairycares.com/families/Hilarides_and_Borba%20%20https:/www.wired.com/2009/02/milk-trucks-in/%20http:/www.tularechamber.org/list/member/hilarides-dairy-lindsay-2296%20https:/www.newkirk-electric.com/projects/biomass-biofuels/hilarides-dairy-biofuel-upgrade-unit" TargetMode="External"/><Relationship Id="rId2" Type="http://schemas.openxmlformats.org/officeDocument/2006/relationships/hyperlink" Target="https://www.cdfa.ca.gov/oefi/ddrdp/docs/2019-DDRDP_ApplicationsAwarded.pdf%20%7C%7C%20https:/www.cdfa.ca.gov/oefi/DDRDP/docs/DDRDP_Project_Level_Data.pdf" TargetMode="External"/><Relationship Id="rId29" Type="http://schemas.openxmlformats.org/officeDocument/2006/relationships/hyperlink" Target="https://www.waste360.com/fuel/construction-underway-new-amp-americas-dairy-rng-facility-wisconsi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wsscwater.com/sites/default/files/2023-05/FAQ%20sheets%20updated%2005.01.23.pdf" TargetMode="External"/><Relationship Id="rId3" Type="http://schemas.openxmlformats.org/officeDocument/2006/relationships/hyperlink" Target="http://www.kingcounty.gov/depts/dnrp/wtd/system/south.aspx" TargetMode="External"/><Relationship Id="rId7" Type="http://schemas.openxmlformats.org/officeDocument/2006/relationships/hyperlink" Target="http://www.abc12.com/home/headlines/Biogas-is-producing-electricity-at-Flint-waste-water-plant-338569892.html" TargetMode="External"/><Relationship Id="rId2" Type="http://schemas.openxmlformats.org/officeDocument/2006/relationships/hyperlink" Target="https://bouldercolorado.gov/newsroom/city-of-boulder-partners-with-tetra-tech-and-cgrs-for-biogas-use-enhancement-project?MvBriefArticleId=7046" TargetMode="External"/><Relationship Id="rId1" Type="http://schemas.openxmlformats.org/officeDocument/2006/relationships/hyperlink" Target="http://www.gjcity.org/residents/persigo-wastewater-treatment-plant/" TargetMode="External"/><Relationship Id="rId6" Type="http://schemas.openxmlformats.org/officeDocument/2006/relationships/hyperlink" Target="http://www.dunedingov.com/index.aspx?page=116" TargetMode="External"/><Relationship Id="rId11" Type="http://schemas.openxmlformats.org/officeDocument/2006/relationships/printerSettings" Target="../printerSettings/printerSettings4.bin"/><Relationship Id="rId5" Type="http://schemas.openxmlformats.org/officeDocument/2006/relationships/hyperlink" Target="http://www.energy.ca.gov/2017publications/CEC-500-2017-004/CEC-500-2017-004.pdf;%20adding%20food%20waste%20and%20FOG%20at%20WWTP,%20but%20apparently%20electric%20only." TargetMode="External"/><Relationship Id="rId10" Type="http://schemas.openxmlformats.org/officeDocument/2006/relationships/hyperlink" Target="https://www.epa.gov/sites/production/files/2016-05/documents/wrrf_fresno_v2_may_12.pdf" TargetMode="External"/><Relationship Id="rId4" Type="http://schemas.openxmlformats.org/officeDocument/2006/relationships/hyperlink" Target="https://biocng.us/wp-content/uploads/2015/06/Janesville-Fact-Sheet-2015.pdf" TargetMode="External"/><Relationship Id="rId9" Type="http://schemas.openxmlformats.org/officeDocument/2006/relationships/hyperlink" Target="https://raleighnc.gov/water-and-sewer/bio-energy-recovery-project"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hyperlink" Target="https://www.epa.gov/agstar/agstar-data-and-trends" TargetMode="External"/><Relationship Id="rId1" Type="http://schemas.openxmlformats.org/officeDocument/2006/relationships/hyperlink" Target="https://www.epa.gov/agst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S87"/>
  <sheetViews>
    <sheetView topLeftCell="A56" workbookViewId="0">
      <selection activeCell="K79" sqref="K79"/>
    </sheetView>
  </sheetViews>
  <sheetFormatPr defaultColWidth="8.875" defaultRowHeight="15"/>
  <cols>
    <col min="1" max="5" width="8.875" style="615"/>
    <col min="6" max="6" width="15.875" style="615" customWidth="1"/>
    <col min="7" max="7" width="9" style="615" bestFit="1" customWidth="1"/>
    <col min="8" max="8" width="12.875" style="615" customWidth="1"/>
    <col min="9" max="9" width="9.875" style="615" customWidth="1"/>
    <col min="10" max="10" width="11.875" style="615" customWidth="1"/>
    <col min="11" max="11" width="8.625" style="615" customWidth="1"/>
    <col min="12" max="12" width="8" style="615" customWidth="1"/>
    <col min="13" max="13" width="14.875" style="615" customWidth="1"/>
    <col min="14" max="14" width="16.5" style="615" customWidth="1"/>
    <col min="15" max="15" width="8.875" style="615"/>
    <col min="16" max="16" width="9.5" style="615" customWidth="1"/>
    <col min="17" max="17" width="10.375" style="615" customWidth="1"/>
    <col min="18" max="262" width="8.875" style="615"/>
    <col min="263" max="263" width="9" style="615" bestFit="1" customWidth="1"/>
    <col min="264" max="264" width="9.5" style="615" customWidth="1"/>
    <col min="265" max="266" width="9" style="615" customWidth="1"/>
    <col min="267" max="268" width="9.875" style="615" customWidth="1"/>
    <col min="269" max="518" width="8.875" style="615"/>
    <col min="519" max="519" width="9" style="615" bestFit="1" customWidth="1"/>
    <col min="520" max="520" width="9.5" style="615" customWidth="1"/>
    <col min="521" max="522" width="9" style="615" customWidth="1"/>
    <col min="523" max="524" width="9.875" style="615" customWidth="1"/>
    <col min="525" max="774" width="8.875" style="615"/>
    <col min="775" max="775" width="9" style="615" bestFit="1" customWidth="1"/>
    <col min="776" max="776" width="9.5" style="615" customWidth="1"/>
    <col min="777" max="778" width="9" style="615" customWidth="1"/>
    <col min="779" max="780" width="9.875" style="615" customWidth="1"/>
    <col min="781" max="1030" width="8.875" style="615"/>
    <col min="1031" max="1031" width="9" style="615" bestFit="1" customWidth="1"/>
    <col min="1032" max="1032" width="9.5" style="615" customWidth="1"/>
    <col min="1033" max="1034" width="9" style="615" customWidth="1"/>
    <col min="1035" max="1036" width="9.875" style="615" customWidth="1"/>
    <col min="1037" max="1286" width="8.875" style="615"/>
    <col min="1287" max="1287" width="9" style="615" bestFit="1" customWidth="1"/>
    <col min="1288" max="1288" width="9.5" style="615" customWidth="1"/>
    <col min="1289" max="1290" width="9" style="615" customWidth="1"/>
    <col min="1291" max="1292" width="9.875" style="615" customWidth="1"/>
    <col min="1293" max="1542" width="8.875" style="615"/>
    <col min="1543" max="1543" width="9" style="615" bestFit="1" customWidth="1"/>
    <col min="1544" max="1544" width="9.5" style="615" customWidth="1"/>
    <col min="1545" max="1546" width="9" style="615" customWidth="1"/>
    <col min="1547" max="1548" width="9.875" style="615" customWidth="1"/>
    <col min="1549" max="1798" width="8.875" style="615"/>
    <col min="1799" max="1799" width="9" style="615" bestFit="1" customWidth="1"/>
    <col min="1800" max="1800" width="9.5" style="615" customWidth="1"/>
    <col min="1801" max="1802" width="9" style="615" customWidth="1"/>
    <col min="1803" max="1804" width="9.875" style="615" customWidth="1"/>
    <col min="1805" max="2054" width="8.875" style="615"/>
    <col min="2055" max="2055" width="9" style="615" bestFit="1" customWidth="1"/>
    <col min="2056" max="2056" width="9.5" style="615" customWidth="1"/>
    <col min="2057" max="2058" width="9" style="615" customWidth="1"/>
    <col min="2059" max="2060" width="9.875" style="615" customWidth="1"/>
    <col min="2061" max="2310" width="8.875" style="615"/>
    <col min="2311" max="2311" width="9" style="615" bestFit="1" customWidth="1"/>
    <col min="2312" max="2312" width="9.5" style="615" customWidth="1"/>
    <col min="2313" max="2314" width="9" style="615" customWidth="1"/>
    <col min="2315" max="2316" width="9.875" style="615" customWidth="1"/>
    <col min="2317" max="2566" width="8.875" style="615"/>
    <col min="2567" max="2567" width="9" style="615" bestFit="1" customWidth="1"/>
    <col min="2568" max="2568" width="9.5" style="615" customWidth="1"/>
    <col min="2569" max="2570" width="9" style="615" customWidth="1"/>
    <col min="2571" max="2572" width="9.875" style="615" customWidth="1"/>
    <col min="2573" max="2822" width="8.875" style="615"/>
    <col min="2823" max="2823" width="9" style="615" bestFit="1" customWidth="1"/>
    <col min="2824" max="2824" width="9.5" style="615" customWidth="1"/>
    <col min="2825" max="2826" width="9" style="615" customWidth="1"/>
    <col min="2827" max="2828" width="9.875" style="615" customWidth="1"/>
    <col min="2829" max="3078" width="8.875" style="615"/>
    <col min="3079" max="3079" width="9" style="615" bestFit="1" customWidth="1"/>
    <col min="3080" max="3080" width="9.5" style="615" customWidth="1"/>
    <col min="3081" max="3082" width="9" style="615" customWidth="1"/>
    <col min="3083" max="3084" width="9.875" style="615" customWidth="1"/>
    <col min="3085" max="3334" width="8.875" style="615"/>
    <col min="3335" max="3335" width="9" style="615" bestFit="1" customWidth="1"/>
    <col min="3336" max="3336" width="9.5" style="615" customWidth="1"/>
    <col min="3337" max="3338" width="9" style="615" customWidth="1"/>
    <col min="3339" max="3340" width="9.875" style="615" customWidth="1"/>
    <col min="3341" max="3590" width="8.875" style="615"/>
    <col min="3591" max="3591" width="9" style="615" bestFit="1" customWidth="1"/>
    <col min="3592" max="3592" width="9.5" style="615" customWidth="1"/>
    <col min="3593" max="3594" width="9" style="615" customWidth="1"/>
    <col min="3595" max="3596" width="9.875" style="615" customWidth="1"/>
    <col min="3597" max="3846" width="8.875" style="615"/>
    <col min="3847" max="3847" width="9" style="615" bestFit="1" customWidth="1"/>
    <col min="3848" max="3848" width="9.5" style="615" customWidth="1"/>
    <col min="3849" max="3850" width="9" style="615" customWidth="1"/>
    <col min="3851" max="3852" width="9.875" style="615" customWidth="1"/>
    <col min="3853" max="4102" width="8.875" style="615"/>
    <col min="4103" max="4103" width="9" style="615" bestFit="1" customWidth="1"/>
    <col min="4104" max="4104" width="9.5" style="615" customWidth="1"/>
    <col min="4105" max="4106" width="9" style="615" customWidth="1"/>
    <col min="4107" max="4108" width="9.875" style="615" customWidth="1"/>
    <col min="4109" max="4358" width="8.875" style="615"/>
    <col min="4359" max="4359" width="9" style="615" bestFit="1" customWidth="1"/>
    <col min="4360" max="4360" width="9.5" style="615" customWidth="1"/>
    <col min="4361" max="4362" width="9" style="615" customWidth="1"/>
    <col min="4363" max="4364" width="9.875" style="615" customWidth="1"/>
    <col min="4365" max="4614" width="8.875" style="615"/>
    <col min="4615" max="4615" width="9" style="615" bestFit="1" customWidth="1"/>
    <col min="4616" max="4616" width="9.5" style="615" customWidth="1"/>
    <col min="4617" max="4618" width="9" style="615" customWidth="1"/>
    <col min="4619" max="4620" width="9.875" style="615" customWidth="1"/>
    <col min="4621" max="4870" width="8.875" style="615"/>
    <col min="4871" max="4871" width="9" style="615" bestFit="1" customWidth="1"/>
    <col min="4872" max="4872" width="9.5" style="615" customWidth="1"/>
    <col min="4873" max="4874" width="9" style="615" customWidth="1"/>
    <col min="4875" max="4876" width="9.875" style="615" customWidth="1"/>
    <col min="4877" max="5126" width="8.875" style="615"/>
    <col min="5127" max="5127" width="9" style="615" bestFit="1" customWidth="1"/>
    <col min="5128" max="5128" width="9.5" style="615" customWidth="1"/>
    <col min="5129" max="5130" width="9" style="615" customWidth="1"/>
    <col min="5131" max="5132" width="9.875" style="615" customWidth="1"/>
    <col min="5133" max="5382" width="8.875" style="615"/>
    <col min="5383" max="5383" width="9" style="615" bestFit="1" customWidth="1"/>
    <col min="5384" max="5384" width="9.5" style="615" customWidth="1"/>
    <col min="5385" max="5386" width="9" style="615" customWidth="1"/>
    <col min="5387" max="5388" width="9.875" style="615" customWidth="1"/>
    <col min="5389" max="5638" width="8.875" style="615"/>
    <col min="5639" max="5639" width="9" style="615" bestFit="1" customWidth="1"/>
    <col min="5640" max="5640" width="9.5" style="615" customWidth="1"/>
    <col min="5641" max="5642" width="9" style="615" customWidth="1"/>
    <col min="5643" max="5644" width="9.875" style="615" customWidth="1"/>
    <col min="5645" max="5894" width="8.875" style="615"/>
    <col min="5895" max="5895" width="9" style="615" bestFit="1" customWidth="1"/>
    <col min="5896" max="5896" width="9.5" style="615" customWidth="1"/>
    <col min="5897" max="5898" width="9" style="615" customWidth="1"/>
    <col min="5899" max="5900" width="9.875" style="615" customWidth="1"/>
    <col min="5901" max="6150" width="8.875" style="615"/>
    <col min="6151" max="6151" width="9" style="615" bestFit="1" customWidth="1"/>
    <col min="6152" max="6152" width="9.5" style="615" customWidth="1"/>
    <col min="6153" max="6154" width="9" style="615" customWidth="1"/>
    <col min="6155" max="6156" width="9.875" style="615" customWidth="1"/>
    <col min="6157" max="6406" width="8.875" style="615"/>
    <col min="6407" max="6407" width="9" style="615" bestFit="1" customWidth="1"/>
    <col min="6408" max="6408" width="9.5" style="615" customWidth="1"/>
    <col min="6409" max="6410" width="9" style="615" customWidth="1"/>
    <col min="6411" max="6412" width="9.875" style="615" customWidth="1"/>
    <col min="6413" max="6662" width="8.875" style="615"/>
    <col min="6663" max="6663" width="9" style="615" bestFit="1" customWidth="1"/>
    <col min="6664" max="6664" width="9.5" style="615" customWidth="1"/>
    <col min="6665" max="6666" width="9" style="615" customWidth="1"/>
    <col min="6667" max="6668" width="9.875" style="615" customWidth="1"/>
    <col min="6669" max="6918" width="8.875" style="615"/>
    <col min="6919" max="6919" width="9" style="615" bestFit="1" customWidth="1"/>
    <col min="6920" max="6920" width="9.5" style="615" customWidth="1"/>
    <col min="6921" max="6922" width="9" style="615" customWidth="1"/>
    <col min="6923" max="6924" width="9.875" style="615" customWidth="1"/>
    <col min="6925" max="7174" width="8.875" style="615"/>
    <col min="7175" max="7175" width="9" style="615" bestFit="1" customWidth="1"/>
    <col min="7176" max="7176" width="9.5" style="615" customWidth="1"/>
    <col min="7177" max="7178" width="9" style="615" customWidth="1"/>
    <col min="7179" max="7180" width="9.875" style="615" customWidth="1"/>
    <col min="7181" max="7430" width="8.875" style="615"/>
    <col min="7431" max="7431" width="9" style="615" bestFit="1" customWidth="1"/>
    <col min="7432" max="7432" width="9.5" style="615" customWidth="1"/>
    <col min="7433" max="7434" width="9" style="615" customWidth="1"/>
    <col min="7435" max="7436" width="9.875" style="615" customWidth="1"/>
    <col min="7437" max="7686" width="8.875" style="615"/>
    <col min="7687" max="7687" width="9" style="615" bestFit="1" customWidth="1"/>
    <col min="7688" max="7688" width="9.5" style="615" customWidth="1"/>
    <col min="7689" max="7690" width="9" style="615" customWidth="1"/>
    <col min="7691" max="7692" width="9.875" style="615" customWidth="1"/>
    <col min="7693" max="7942" width="8.875" style="615"/>
    <col min="7943" max="7943" width="9" style="615" bestFit="1" customWidth="1"/>
    <col min="7944" max="7944" width="9.5" style="615" customWidth="1"/>
    <col min="7945" max="7946" width="9" style="615" customWidth="1"/>
    <col min="7947" max="7948" width="9.875" style="615" customWidth="1"/>
    <col min="7949" max="8198" width="8.875" style="615"/>
    <col min="8199" max="8199" width="9" style="615" bestFit="1" customWidth="1"/>
    <col min="8200" max="8200" width="9.5" style="615" customWidth="1"/>
    <col min="8201" max="8202" width="9" style="615" customWidth="1"/>
    <col min="8203" max="8204" width="9.875" style="615" customWidth="1"/>
    <col min="8205" max="8454" width="8.875" style="615"/>
    <col min="8455" max="8455" width="9" style="615" bestFit="1" customWidth="1"/>
    <col min="8456" max="8456" width="9.5" style="615" customWidth="1"/>
    <col min="8457" max="8458" width="9" style="615" customWidth="1"/>
    <col min="8459" max="8460" width="9.875" style="615" customWidth="1"/>
    <col min="8461" max="8710" width="8.875" style="615"/>
    <col min="8711" max="8711" width="9" style="615" bestFit="1" customWidth="1"/>
    <col min="8712" max="8712" width="9.5" style="615" customWidth="1"/>
    <col min="8713" max="8714" width="9" style="615" customWidth="1"/>
    <col min="8715" max="8716" width="9.875" style="615" customWidth="1"/>
    <col min="8717" max="8966" width="8.875" style="615"/>
    <col min="8967" max="8967" width="9" style="615" bestFit="1" customWidth="1"/>
    <col min="8968" max="8968" width="9.5" style="615" customWidth="1"/>
    <col min="8969" max="8970" width="9" style="615" customWidth="1"/>
    <col min="8971" max="8972" width="9.875" style="615" customWidth="1"/>
    <col min="8973" max="9222" width="8.875" style="615"/>
    <col min="9223" max="9223" width="9" style="615" bestFit="1" customWidth="1"/>
    <col min="9224" max="9224" width="9.5" style="615" customWidth="1"/>
    <col min="9225" max="9226" width="9" style="615" customWidth="1"/>
    <col min="9227" max="9228" width="9.875" style="615" customWidth="1"/>
    <col min="9229" max="9478" width="8.875" style="615"/>
    <col min="9479" max="9479" width="9" style="615" bestFit="1" customWidth="1"/>
    <col min="9480" max="9480" width="9.5" style="615" customWidth="1"/>
    <col min="9481" max="9482" width="9" style="615" customWidth="1"/>
    <col min="9483" max="9484" width="9.875" style="615" customWidth="1"/>
    <col min="9485" max="9734" width="8.875" style="615"/>
    <col min="9735" max="9735" width="9" style="615" bestFit="1" customWidth="1"/>
    <col min="9736" max="9736" width="9.5" style="615" customWidth="1"/>
    <col min="9737" max="9738" width="9" style="615" customWidth="1"/>
    <col min="9739" max="9740" width="9.875" style="615" customWidth="1"/>
    <col min="9741" max="9990" width="8.875" style="615"/>
    <col min="9991" max="9991" width="9" style="615" bestFit="1" customWidth="1"/>
    <col min="9992" max="9992" width="9.5" style="615" customWidth="1"/>
    <col min="9993" max="9994" width="9" style="615" customWidth="1"/>
    <col min="9995" max="9996" width="9.875" style="615" customWidth="1"/>
    <col min="9997" max="10246" width="8.875" style="615"/>
    <col min="10247" max="10247" width="9" style="615" bestFit="1" customWidth="1"/>
    <col min="10248" max="10248" width="9.5" style="615" customWidth="1"/>
    <col min="10249" max="10250" width="9" style="615" customWidth="1"/>
    <col min="10251" max="10252" width="9.875" style="615" customWidth="1"/>
    <col min="10253" max="10502" width="8.875" style="615"/>
    <col min="10503" max="10503" width="9" style="615" bestFit="1" customWidth="1"/>
    <col min="10504" max="10504" width="9.5" style="615" customWidth="1"/>
    <col min="10505" max="10506" width="9" style="615" customWidth="1"/>
    <col min="10507" max="10508" width="9.875" style="615" customWidth="1"/>
    <col min="10509" max="10758" width="8.875" style="615"/>
    <col min="10759" max="10759" width="9" style="615" bestFit="1" customWidth="1"/>
    <col min="10760" max="10760" width="9.5" style="615" customWidth="1"/>
    <col min="10761" max="10762" width="9" style="615" customWidth="1"/>
    <col min="10763" max="10764" width="9.875" style="615" customWidth="1"/>
    <col min="10765" max="11014" width="8.875" style="615"/>
    <col min="11015" max="11015" width="9" style="615" bestFit="1" customWidth="1"/>
    <col min="11016" max="11016" width="9.5" style="615" customWidth="1"/>
    <col min="11017" max="11018" width="9" style="615" customWidth="1"/>
    <col min="11019" max="11020" width="9.875" style="615" customWidth="1"/>
    <col min="11021" max="11270" width="8.875" style="615"/>
    <col min="11271" max="11271" width="9" style="615" bestFit="1" customWidth="1"/>
    <col min="11272" max="11272" width="9.5" style="615" customWidth="1"/>
    <col min="11273" max="11274" width="9" style="615" customWidth="1"/>
    <col min="11275" max="11276" width="9.875" style="615" customWidth="1"/>
    <col min="11277" max="11526" width="8.875" style="615"/>
    <col min="11527" max="11527" width="9" style="615" bestFit="1" customWidth="1"/>
    <col min="11528" max="11528" width="9.5" style="615" customWidth="1"/>
    <col min="11529" max="11530" width="9" style="615" customWidth="1"/>
    <col min="11531" max="11532" width="9.875" style="615" customWidth="1"/>
    <col min="11533" max="11782" width="8.875" style="615"/>
    <col min="11783" max="11783" width="9" style="615" bestFit="1" customWidth="1"/>
    <col min="11784" max="11784" width="9.5" style="615" customWidth="1"/>
    <col min="11785" max="11786" width="9" style="615" customWidth="1"/>
    <col min="11787" max="11788" width="9.875" style="615" customWidth="1"/>
    <col min="11789" max="12038" width="8.875" style="615"/>
    <col min="12039" max="12039" width="9" style="615" bestFit="1" customWidth="1"/>
    <col min="12040" max="12040" width="9.5" style="615" customWidth="1"/>
    <col min="12041" max="12042" width="9" style="615" customWidth="1"/>
    <col min="12043" max="12044" width="9.875" style="615" customWidth="1"/>
    <col min="12045" max="12294" width="8.875" style="615"/>
    <col min="12295" max="12295" width="9" style="615" bestFit="1" customWidth="1"/>
    <col min="12296" max="12296" width="9.5" style="615" customWidth="1"/>
    <col min="12297" max="12298" width="9" style="615" customWidth="1"/>
    <col min="12299" max="12300" width="9.875" style="615" customWidth="1"/>
    <col min="12301" max="12550" width="8.875" style="615"/>
    <col min="12551" max="12551" width="9" style="615" bestFit="1" customWidth="1"/>
    <col min="12552" max="12552" width="9.5" style="615" customWidth="1"/>
    <col min="12553" max="12554" width="9" style="615" customWidth="1"/>
    <col min="12555" max="12556" width="9.875" style="615" customWidth="1"/>
    <col min="12557" max="12806" width="8.875" style="615"/>
    <col min="12807" max="12807" width="9" style="615" bestFit="1" customWidth="1"/>
    <col min="12808" max="12808" width="9.5" style="615" customWidth="1"/>
    <col min="12809" max="12810" width="9" style="615" customWidth="1"/>
    <col min="12811" max="12812" width="9.875" style="615" customWidth="1"/>
    <col min="12813" max="13062" width="8.875" style="615"/>
    <col min="13063" max="13063" width="9" style="615" bestFit="1" customWidth="1"/>
    <col min="13064" max="13064" width="9.5" style="615" customWidth="1"/>
    <col min="13065" max="13066" width="9" style="615" customWidth="1"/>
    <col min="13067" max="13068" width="9.875" style="615" customWidth="1"/>
    <col min="13069" max="13318" width="8.875" style="615"/>
    <col min="13319" max="13319" width="9" style="615" bestFit="1" customWidth="1"/>
    <col min="13320" max="13320" width="9.5" style="615" customWidth="1"/>
    <col min="13321" max="13322" width="9" style="615" customWidth="1"/>
    <col min="13323" max="13324" width="9.875" style="615" customWidth="1"/>
    <col min="13325" max="13574" width="8.875" style="615"/>
    <col min="13575" max="13575" width="9" style="615" bestFit="1" customWidth="1"/>
    <col min="13576" max="13576" width="9.5" style="615" customWidth="1"/>
    <col min="13577" max="13578" width="9" style="615" customWidth="1"/>
    <col min="13579" max="13580" width="9.875" style="615" customWidth="1"/>
    <col min="13581" max="13830" width="8.875" style="615"/>
    <col min="13831" max="13831" width="9" style="615" bestFit="1" customWidth="1"/>
    <col min="13832" max="13832" width="9.5" style="615" customWidth="1"/>
    <col min="13833" max="13834" width="9" style="615" customWidth="1"/>
    <col min="13835" max="13836" width="9.875" style="615" customWidth="1"/>
    <col min="13837" max="14086" width="8.875" style="615"/>
    <col min="14087" max="14087" width="9" style="615" bestFit="1" customWidth="1"/>
    <col min="14088" max="14088" width="9.5" style="615" customWidth="1"/>
    <col min="14089" max="14090" width="9" style="615" customWidth="1"/>
    <col min="14091" max="14092" width="9.875" style="615" customWidth="1"/>
    <col min="14093" max="14342" width="8.875" style="615"/>
    <col min="14343" max="14343" width="9" style="615" bestFit="1" customWidth="1"/>
    <col min="14344" max="14344" width="9.5" style="615" customWidth="1"/>
    <col min="14345" max="14346" width="9" style="615" customWidth="1"/>
    <col min="14347" max="14348" width="9.875" style="615" customWidth="1"/>
    <col min="14349" max="14598" width="8.875" style="615"/>
    <col min="14599" max="14599" width="9" style="615" bestFit="1" customWidth="1"/>
    <col min="14600" max="14600" width="9.5" style="615" customWidth="1"/>
    <col min="14601" max="14602" width="9" style="615" customWidth="1"/>
    <col min="14603" max="14604" width="9.875" style="615" customWidth="1"/>
    <col min="14605" max="14854" width="8.875" style="615"/>
    <col min="14855" max="14855" width="9" style="615" bestFit="1" customWidth="1"/>
    <col min="14856" max="14856" width="9.5" style="615" customWidth="1"/>
    <col min="14857" max="14858" width="9" style="615" customWidth="1"/>
    <col min="14859" max="14860" width="9.875" style="615" customWidth="1"/>
    <col min="14861" max="15110" width="8.875" style="615"/>
    <col min="15111" max="15111" width="9" style="615" bestFit="1" customWidth="1"/>
    <col min="15112" max="15112" width="9.5" style="615" customWidth="1"/>
    <col min="15113" max="15114" width="9" style="615" customWidth="1"/>
    <col min="15115" max="15116" width="9.875" style="615" customWidth="1"/>
    <col min="15117" max="15366" width="8.875" style="615"/>
    <col min="15367" max="15367" width="9" style="615" bestFit="1" customWidth="1"/>
    <col min="15368" max="15368" width="9.5" style="615" customWidth="1"/>
    <col min="15369" max="15370" width="9" style="615" customWidth="1"/>
    <col min="15371" max="15372" width="9.875" style="615" customWidth="1"/>
    <col min="15373" max="15622" width="8.875" style="615"/>
    <col min="15623" max="15623" width="9" style="615" bestFit="1" customWidth="1"/>
    <col min="15624" max="15624" width="9.5" style="615" customWidth="1"/>
    <col min="15625" max="15626" width="9" style="615" customWidth="1"/>
    <col min="15627" max="15628" width="9.875" style="615" customWidth="1"/>
    <col min="15629" max="15878" width="8.875" style="615"/>
    <col min="15879" max="15879" width="9" style="615" bestFit="1" customWidth="1"/>
    <col min="15880" max="15880" width="9.5" style="615" customWidth="1"/>
    <col min="15881" max="15882" width="9" style="615" customWidth="1"/>
    <col min="15883" max="15884" width="9.875" style="615" customWidth="1"/>
    <col min="15885" max="16134" width="8.875" style="615"/>
    <col min="16135" max="16135" width="9" style="615" bestFit="1" customWidth="1"/>
    <col min="16136" max="16136" width="9.5" style="615" customWidth="1"/>
    <col min="16137" max="16138" width="9" style="615" customWidth="1"/>
    <col min="16139" max="16140" width="9.875" style="615" customWidth="1"/>
    <col min="16141" max="16384" width="8.875" style="615"/>
  </cols>
  <sheetData>
    <row r="3" spans="2:19" ht="17.25">
      <c r="B3" s="1491" t="s">
        <v>2386</v>
      </c>
      <c r="C3" s="1491"/>
      <c r="D3" s="1491"/>
      <c r="E3" s="1491"/>
      <c r="F3" s="1491"/>
      <c r="G3" s="1491"/>
      <c r="H3" s="1491"/>
      <c r="I3" s="1491"/>
      <c r="J3" s="1491"/>
      <c r="K3" s="1491"/>
      <c r="L3" s="1491"/>
      <c r="M3" s="1491"/>
      <c r="N3" s="1491"/>
      <c r="O3" s="1491"/>
      <c r="P3" s="1491"/>
      <c r="Q3" s="1491"/>
      <c r="R3" s="1491"/>
      <c r="S3" s="1491"/>
    </row>
    <row r="4" spans="2:19">
      <c r="B4" s="616"/>
    </row>
    <row r="5" spans="2:19">
      <c r="B5" s="617" t="s">
        <v>2387</v>
      </c>
    </row>
    <row r="6" spans="2:19">
      <c r="B6" s="616"/>
    </row>
    <row r="7" spans="2:19">
      <c r="B7" s="618" t="s">
        <v>2388</v>
      </c>
    </row>
    <row r="8" spans="2:19">
      <c r="B8" s="618" t="s">
        <v>2972</v>
      </c>
    </row>
    <row r="9" spans="2:19">
      <c r="B9" s="615" t="s">
        <v>2973</v>
      </c>
    </row>
    <row r="10" spans="2:19">
      <c r="B10" s="618" t="s">
        <v>2389</v>
      </c>
    </row>
    <row r="11" spans="2:19">
      <c r="B11" s="618" t="s">
        <v>2390</v>
      </c>
    </row>
    <row r="12" spans="2:19">
      <c r="B12" s="618"/>
    </row>
    <row r="13" spans="2:19">
      <c r="B13" s="617" t="s">
        <v>2391</v>
      </c>
    </row>
    <row r="14" spans="2:19">
      <c r="B14" s="618"/>
    </row>
    <row r="15" spans="2:19">
      <c r="B15" s="619" t="s">
        <v>3185</v>
      </c>
      <c r="S15" s="615" t="s">
        <v>2392</v>
      </c>
    </row>
    <row r="16" spans="2:19">
      <c r="B16" s="619" t="s">
        <v>2968</v>
      </c>
      <c r="N16" s="959"/>
      <c r="O16" s="960"/>
      <c r="P16" s="960"/>
    </row>
    <row r="17" spans="2:2">
      <c r="B17" s="619" t="s">
        <v>2393</v>
      </c>
    </row>
    <row r="18" spans="2:2">
      <c r="B18" s="619" t="s">
        <v>2394</v>
      </c>
    </row>
    <row r="19" spans="2:2">
      <c r="B19" s="619" t="s">
        <v>2395</v>
      </c>
    </row>
    <row r="20" spans="2:2">
      <c r="B20" s="619" t="s">
        <v>2396</v>
      </c>
    </row>
    <row r="21" spans="2:2">
      <c r="B21" s="618"/>
    </row>
    <row r="22" spans="2:2">
      <c r="B22" s="620" t="s">
        <v>2397</v>
      </c>
    </row>
    <row r="23" spans="2:2">
      <c r="B23" s="618"/>
    </row>
    <row r="24" spans="2:2">
      <c r="B24" s="618" t="s">
        <v>2398</v>
      </c>
    </row>
    <row r="25" spans="2:2">
      <c r="B25" s="618" t="s">
        <v>2399</v>
      </c>
    </row>
    <row r="26" spans="2:2">
      <c r="B26" s="618"/>
    </row>
    <row r="27" spans="2:2">
      <c r="B27" s="618"/>
    </row>
    <row r="28" spans="2:2">
      <c r="B28" s="618" t="s">
        <v>2400</v>
      </c>
    </row>
    <row r="29" spans="2:2">
      <c r="B29" s="618"/>
    </row>
    <row r="30" spans="2:2">
      <c r="B30" s="621" t="s">
        <v>2401</v>
      </c>
    </row>
    <row r="31" spans="2:2">
      <c r="B31" s="621"/>
    </row>
    <row r="32" spans="2:2">
      <c r="B32" s="622" t="s">
        <v>2402</v>
      </c>
    </row>
    <row r="34" spans="2:2">
      <c r="B34" s="622" t="s">
        <v>2403</v>
      </c>
    </row>
    <row r="35" spans="2:2">
      <c r="B35" s="623"/>
    </row>
    <row r="36" spans="2:2">
      <c r="B36" s="622" t="s">
        <v>2404</v>
      </c>
    </row>
    <row r="37" spans="2:2">
      <c r="B37" s="622"/>
    </row>
    <row r="38" spans="2:2">
      <c r="B38" s="622" t="s">
        <v>2405</v>
      </c>
    </row>
    <row r="39" spans="2:2">
      <c r="B39" s="618"/>
    </row>
    <row r="40" spans="2:2">
      <c r="B40" s="624" t="s">
        <v>2406</v>
      </c>
    </row>
    <row r="41" spans="2:2">
      <c r="B41" s="624" t="s">
        <v>2969</v>
      </c>
    </row>
    <row r="42" spans="2:2">
      <c r="B42" s="624" t="s">
        <v>2974</v>
      </c>
    </row>
    <row r="43" spans="2:2">
      <c r="B43" s="620"/>
    </row>
    <row r="44" spans="2:2">
      <c r="B44" s="624" t="s">
        <v>3184</v>
      </c>
    </row>
    <row r="45" spans="2:2">
      <c r="B45" s="620"/>
    </row>
    <row r="46" spans="2:2">
      <c r="B46" s="624" t="s">
        <v>2407</v>
      </c>
    </row>
    <row r="47" spans="2:2">
      <c r="B47" s="620"/>
    </row>
    <row r="48" spans="2:2">
      <c r="B48" s="624" t="s">
        <v>2408</v>
      </c>
    </row>
    <row r="51" spans="2:2">
      <c r="B51" s="617" t="s">
        <v>2409</v>
      </c>
    </row>
    <row r="52" spans="2:2">
      <c r="B52" s="618"/>
    </row>
    <row r="53" spans="2:2">
      <c r="B53" s="618" t="s">
        <v>2410</v>
      </c>
    </row>
    <row r="54" spans="2:2">
      <c r="B54" s="618"/>
    </row>
    <row r="55" spans="2:2">
      <c r="B55" s="625" t="s">
        <v>2411</v>
      </c>
    </row>
    <row r="56" spans="2:2">
      <c r="B56" s="625" t="s">
        <v>2412</v>
      </c>
    </row>
    <row r="57" spans="2:2">
      <c r="B57" s="625" t="s">
        <v>2413</v>
      </c>
    </row>
    <row r="58" spans="2:2">
      <c r="B58" s="625" t="s">
        <v>2414</v>
      </c>
    </row>
    <row r="59" spans="2:2">
      <c r="B59" s="625" t="s">
        <v>2415</v>
      </c>
    </row>
    <row r="61" spans="2:2">
      <c r="B61" s="626"/>
    </row>
    <row r="62" spans="2:2">
      <c r="B62" s="621" t="s">
        <v>2416</v>
      </c>
    </row>
    <row r="63" spans="2:2">
      <c r="B63" s="616"/>
    </row>
    <row r="64" spans="2:2">
      <c r="B64" s="617" t="s">
        <v>2417</v>
      </c>
    </row>
    <row r="66" spans="2:13">
      <c r="B66" s="618" t="s">
        <v>2418</v>
      </c>
    </row>
    <row r="67" spans="2:13">
      <c r="B67" s="618" t="s">
        <v>2419</v>
      </c>
    </row>
    <row r="68" spans="2:13">
      <c r="B68" s="618" t="s">
        <v>2420</v>
      </c>
    </row>
    <row r="69" spans="2:13">
      <c r="B69" s="618"/>
    </row>
    <row r="70" spans="2:13">
      <c r="B70" s="616"/>
    </row>
    <row r="71" spans="2:13">
      <c r="B71" s="617" t="s">
        <v>3066</v>
      </c>
    </row>
    <row r="72" spans="2:13">
      <c r="B72" s="616"/>
    </row>
    <row r="73" spans="2:13">
      <c r="B73" s="627" t="s">
        <v>3064</v>
      </c>
      <c r="F73" s="629">
        <f>TOTALS!E22</f>
        <v>541</v>
      </c>
      <c r="G73" s="615" t="s">
        <v>2421</v>
      </c>
      <c r="J73" s="629"/>
    </row>
    <row r="74" spans="2:13">
      <c r="B74" s="627" t="s">
        <v>3065</v>
      </c>
      <c r="F74" s="632">
        <f>TOTALS!B22</f>
        <v>305</v>
      </c>
      <c r="G74" s="628"/>
      <c r="J74" s="629"/>
    </row>
    <row r="75" spans="2:13">
      <c r="B75" s="630" t="s">
        <v>3063</v>
      </c>
      <c r="F75" s="629">
        <f>TOTALS!C45</f>
        <v>108439538.77546564</v>
      </c>
      <c r="G75" s="628" t="s">
        <v>2422</v>
      </c>
      <c r="H75" s="628">
        <f>TOTALS!D45</f>
        <v>966535989.2281729</v>
      </c>
      <c r="I75" s="615" t="s">
        <v>2423</v>
      </c>
      <c r="J75" s="628">
        <f>TOTALS!E45</f>
        <v>842664332.3698107</v>
      </c>
      <c r="K75" s="615" t="s">
        <v>2424</v>
      </c>
      <c r="L75" s="631">
        <f>TOTALS!C47</f>
        <v>0.22034197475625375</v>
      </c>
      <c r="M75" s="615" t="s">
        <v>2975</v>
      </c>
    </row>
    <row r="76" spans="2:13">
      <c r="B76" s="630" t="s">
        <v>2425</v>
      </c>
      <c r="F76" s="629">
        <f>TOTALS!C58</f>
        <v>35494779.886401564</v>
      </c>
      <c r="G76" s="628" t="s">
        <v>2422</v>
      </c>
      <c r="H76" s="628">
        <f>TOTALS!D58</f>
        <v>316369680.07559735</v>
      </c>
      <c r="I76" s="615" t="s">
        <v>2423</v>
      </c>
      <c r="J76" s="628">
        <f>TOTALS!E58</f>
        <v>275794635.8665418</v>
      </c>
      <c r="K76" s="615" t="s">
        <v>2424</v>
      </c>
      <c r="L76" s="631">
        <f>TOTALS!C60</f>
        <v>0.74269330422598823</v>
      </c>
      <c r="M76" s="615" t="s">
        <v>2975</v>
      </c>
    </row>
    <row r="80" spans="2:13">
      <c r="B80" s="632" t="s">
        <v>2426</v>
      </c>
    </row>
    <row r="82" spans="2:6">
      <c r="B82" s="615" t="s">
        <v>2427</v>
      </c>
    </row>
    <row r="83" spans="2:6">
      <c r="B83" s="615" t="s">
        <v>3146</v>
      </c>
    </row>
    <row r="85" spans="2:6">
      <c r="B85" s="615" t="s">
        <v>2428</v>
      </c>
    </row>
    <row r="86" spans="2:6">
      <c r="B86" s="615" t="s">
        <v>2429</v>
      </c>
      <c r="D86" s="633" t="s">
        <v>2430</v>
      </c>
      <c r="F86" s="615" t="s">
        <v>2431</v>
      </c>
    </row>
    <row r="87" spans="2:6">
      <c r="B87" s="615" t="s">
        <v>2970</v>
      </c>
      <c r="D87" s="961" t="s">
        <v>2971</v>
      </c>
    </row>
  </sheetData>
  <mergeCells count="1">
    <mergeCell ref="B3:S3"/>
  </mergeCells>
  <hyperlinks>
    <hyperlink ref="D86" r:id="rId1" xr:uid="{7EF5C7D6-5535-BF43-B3F8-53C2D1BB8CE2}"/>
    <hyperlink ref="D87" r:id="rId2" xr:uid="{D097A8D0-D050-AD48-9697-71B97623056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4B083"/>
  </sheetPr>
  <dimension ref="A1:AC83"/>
  <sheetViews>
    <sheetView topLeftCell="F1" zoomScaleNormal="100" workbookViewId="0">
      <pane ySplit="7" topLeftCell="A51" activePane="bottomLeft" state="frozen"/>
      <selection pane="bottomLeft" activeCell="I15" sqref="I15"/>
    </sheetView>
  </sheetViews>
  <sheetFormatPr defaultColWidth="12.625" defaultRowHeight="15" customHeight="1"/>
  <cols>
    <col min="1" max="1" width="23.875" customWidth="1"/>
    <col min="2" max="2" width="10" customWidth="1"/>
    <col min="3" max="3" width="13.375" customWidth="1"/>
    <col min="4" max="4" width="7.5" customWidth="1"/>
    <col min="5" max="5" width="5.125" customWidth="1"/>
    <col min="6" max="6" width="8.125" customWidth="1"/>
    <col min="7" max="7" width="15.625" customWidth="1"/>
    <col min="8" max="8" width="34.125" customWidth="1"/>
    <col min="9" max="10" width="11" customWidth="1"/>
    <col min="11" max="11" width="14.125" customWidth="1"/>
    <col min="12" max="12" width="11.5" customWidth="1"/>
    <col min="13" max="13" width="16.875" customWidth="1"/>
    <col min="14" max="14" width="8.875" customWidth="1"/>
    <col min="15" max="15" width="7.875" customWidth="1"/>
    <col min="16" max="16" width="8.875" customWidth="1"/>
    <col min="17" max="17" width="8.5" customWidth="1"/>
    <col min="18" max="18" width="9.875" customWidth="1"/>
    <col min="19" max="19" width="7.625" customWidth="1"/>
    <col min="20" max="20" width="8.625" customWidth="1"/>
    <col min="21" max="21" width="8.75" customWidth="1"/>
    <col min="22" max="22" width="9.75" customWidth="1"/>
    <col min="23" max="23" width="4.875" customWidth="1"/>
    <col min="24" max="24" width="9.625" customWidth="1"/>
    <col min="25" max="25" width="36.625" customWidth="1"/>
    <col min="26" max="26" width="19.5" customWidth="1"/>
    <col min="27" max="27" width="13.625" customWidth="1"/>
    <col min="28" max="28" width="23.375" customWidth="1"/>
    <col min="29" max="29" width="37.5" customWidth="1"/>
    <col min="30" max="30" width="16.125" customWidth="1"/>
    <col min="31" max="51" width="45.875" customWidth="1"/>
  </cols>
  <sheetData>
    <row r="1" spans="1:29" ht="14.25" customHeight="1">
      <c r="A1" s="1302" t="s">
        <v>2934</v>
      </c>
      <c r="B1" s="1316" t="s">
        <v>2680</v>
      </c>
      <c r="C1" s="1328"/>
      <c r="D1" s="1329"/>
      <c r="E1" s="1330"/>
      <c r="F1" s="829" t="s">
        <v>2933</v>
      </c>
      <c r="G1" s="1"/>
      <c r="H1" s="1"/>
      <c r="I1" s="1"/>
      <c r="J1" s="302"/>
      <c r="K1" s="302"/>
      <c r="L1" s="302"/>
      <c r="M1" s="302"/>
      <c r="N1" s="302"/>
      <c r="O1" s="302"/>
      <c r="P1" s="1"/>
      <c r="Q1" s="1"/>
      <c r="R1" s="1"/>
      <c r="S1" s="5"/>
      <c r="T1" s="5"/>
      <c r="U1" s="1"/>
      <c r="V1" s="1"/>
      <c r="W1" s="5"/>
      <c r="X1" s="5"/>
      <c r="Y1" s="1"/>
      <c r="Z1" s="1"/>
      <c r="AA1" s="1"/>
      <c r="AB1" s="1"/>
      <c r="AC1" s="1"/>
    </row>
    <row r="2" spans="1:29" ht="14.25" customHeight="1">
      <c r="A2" s="1"/>
      <c r="B2" s="1323" t="s">
        <v>2</v>
      </c>
      <c r="C2" s="830"/>
      <c r="D2" s="1331"/>
      <c r="E2" s="1332"/>
      <c r="F2" s="829" t="s">
        <v>3</v>
      </c>
      <c r="G2" s="1"/>
      <c r="H2" s="1"/>
      <c r="I2" s="1"/>
      <c r="J2" s="302"/>
      <c r="K2" s="302"/>
      <c r="L2" s="302"/>
      <c r="M2" s="302"/>
      <c r="N2" s="302"/>
      <c r="O2" s="302"/>
      <c r="P2" s="1"/>
      <c r="Q2" s="1"/>
      <c r="R2" s="1"/>
      <c r="S2" s="5"/>
      <c r="T2" s="5"/>
      <c r="U2" s="1"/>
      <c r="V2" s="1"/>
      <c r="W2" s="5"/>
      <c r="X2" s="5"/>
      <c r="Y2" s="1"/>
      <c r="Z2" s="1"/>
      <c r="AA2" s="1"/>
      <c r="AB2" s="1"/>
      <c r="AC2" s="1"/>
    </row>
    <row r="3" spans="1:29" ht="14.25" customHeight="1">
      <c r="A3" s="1"/>
      <c r="B3" s="1319" t="s">
        <v>4</v>
      </c>
      <c r="C3" s="831"/>
      <c r="D3" s="1320"/>
      <c r="E3" s="1333"/>
      <c r="F3" s="302"/>
      <c r="G3" s="302"/>
      <c r="H3" s="1"/>
      <c r="I3" s="1"/>
      <c r="J3" s="302"/>
      <c r="K3" s="302"/>
      <c r="L3" s="302"/>
      <c r="M3" s="302"/>
      <c r="N3" s="302"/>
      <c r="O3" s="302"/>
      <c r="P3" s="1"/>
      <c r="Q3" s="1"/>
      <c r="R3" s="1"/>
      <c r="S3" s="5"/>
      <c r="T3" s="5"/>
      <c r="U3" s="1"/>
      <c r="V3" s="1"/>
      <c r="W3" s="5"/>
      <c r="X3" s="5"/>
      <c r="Y3" s="1"/>
      <c r="Z3" s="1"/>
      <c r="AA3" s="1"/>
      <c r="AB3" s="1"/>
      <c r="AC3" s="1"/>
    </row>
    <row r="4" spans="1:29" ht="14.25" customHeight="1">
      <c r="A4" s="1"/>
      <c r="B4" s="1324" t="s">
        <v>5</v>
      </c>
      <c r="C4" s="1334"/>
      <c r="D4" s="1335"/>
      <c r="E4" s="1336"/>
      <c r="F4" s="302"/>
      <c r="G4" s="302"/>
      <c r="H4" s="1"/>
      <c r="I4" s="1"/>
      <c r="J4" s="302"/>
      <c r="K4" s="302"/>
      <c r="L4" s="302"/>
      <c r="M4" s="302"/>
      <c r="N4" s="302"/>
      <c r="O4" s="302"/>
      <c r="P4" s="1"/>
      <c r="Q4" s="1"/>
      <c r="R4" s="1"/>
      <c r="S4" s="6"/>
      <c r="T4" s="5"/>
      <c r="U4" s="1"/>
      <c r="V4" s="1"/>
      <c r="W4" s="5"/>
      <c r="X4" s="5"/>
      <c r="Y4" s="1"/>
      <c r="Z4" s="1"/>
      <c r="AA4" s="1"/>
      <c r="AB4" s="1"/>
      <c r="AC4" s="1"/>
    </row>
    <row r="5" spans="1:29" ht="14.25" customHeight="1">
      <c r="A5" s="1"/>
      <c r="B5" s="1021"/>
      <c r="C5" s="184"/>
      <c r="D5" s="1"/>
      <c r="E5" s="1"/>
      <c r="F5" s="1"/>
      <c r="G5" s="1"/>
      <c r="H5" s="1"/>
      <c r="I5" s="1"/>
      <c r="J5" s="302"/>
      <c r="K5" s="302"/>
      <c r="L5" s="302"/>
      <c r="M5" s="302"/>
      <c r="N5" s="302"/>
      <c r="O5" s="302"/>
      <c r="P5" s="1"/>
      <c r="Q5" s="1"/>
      <c r="R5" s="1"/>
      <c r="S5" s="5"/>
      <c r="T5" s="5"/>
      <c r="U5" s="1"/>
      <c r="V5" s="1"/>
      <c r="W5" s="5"/>
      <c r="X5" s="5"/>
      <c r="Y5" s="1"/>
      <c r="Z5" s="1"/>
      <c r="AA5" s="1"/>
      <c r="AB5" s="1"/>
      <c r="AC5" s="1"/>
    </row>
    <row r="6" spans="1:29" ht="15" customHeight="1">
      <c r="A6" s="1500" t="s">
        <v>3149</v>
      </c>
      <c r="B6" s="1500"/>
      <c r="C6" s="1500"/>
      <c r="D6" s="1500"/>
      <c r="E6" s="1501"/>
      <c r="F6" s="1494" t="s">
        <v>6</v>
      </c>
      <c r="G6" s="1495"/>
      <c r="H6" s="1495"/>
      <c r="I6" s="1496"/>
      <c r="J6" s="1497" t="s">
        <v>7</v>
      </c>
      <c r="K6" s="1498"/>
      <c r="L6" s="1498"/>
      <c r="M6" s="1499"/>
      <c r="N6" s="1497" t="s">
        <v>8</v>
      </c>
      <c r="O6" s="1498"/>
      <c r="P6" s="1498"/>
      <c r="Q6" s="1498"/>
      <c r="R6" s="1498"/>
      <c r="S6" s="1498"/>
      <c r="T6" s="1498"/>
      <c r="U6" s="1498"/>
      <c r="V6" s="1502" t="s">
        <v>9</v>
      </c>
      <c r="W6" s="1502"/>
      <c r="X6" s="1502"/>
      <c r="Y6" s="1502"/>
    </row>
    <row r="7" spans="1:29" ht="45" customHeight="1">
      <c r="A7" s="186" t="s">
        <v>10</v>
      </c>
      <c r="B7" s="186" t="s">
        <v>2667</v>
      </c>
      <c r="C7" s="186" t="s">
        <v>11</v>
      </c>
      <c r="D7" s="186" t="s">
        <v>3147</v>
      </c>
      <c r="E7" s="186" t="s">
        <v>13</v>
      </c>
      <c r="F7" s="186" t="s">
        <v>14</v>
      </c>
      <c r="G7" s="186" t="s">
        <v>2937</v>
      </c>
      <c r="H7" s="186" t="s">
        <v>15</v>
      </c>
      <c r="I7" s="186" t="s">
        <v>16</v>
      </c>
      <c r="J7" s="186" t="s">
        <v>17</v>
      </c>
      <c r="K7" s="186" t="s">
        <v>18</v>
      </c>
      <c r="L7" s="186" t="s">
        <v>19</v>
      </c>
      <c r="M7" s="186" t="s">
        <v>20</v>
      </c>
      <c r="N7" s="186" t="s">
        <v>21</v>
      </c>
      <c r="O7" s="186" t="s">
        <v>22</v>
      </c>
      <c r="P7" s="186" t="s">
        <v>23</v>
      </c>
      <c r="Q7" s="186" t="s">
        <v>24</v>
      </c>
      <c r="R7" s="186" t="s">
        <v>3148</v>
      </c>
      <c r="S7" s="186" t="s">
        <v>25</v>
      </c>
      <c r="T7" s="186" t="s">
        <v>26</v>
      </c>
      <c r="U7" s="186" t="s">
        <v>27</v>
      </c>
      <c r="V7" s="185" t="s">
        <v>28</v>
      </c>
      <c r="W7" s="185"/>
      <c r="X7" s="832" t="s">
        <v>2936</v>
      </c>
      <c r="Y7" s="185" t="s">
        <v>2935</v>
      </c>
    </row>
    <row r="8" spans="1:29" ht="15" customHeight="1">
      <c r="A8" s="1492" t="s">
        <v>2867</v>
      </c>
      <c r="B8" s="1492"/>
      <c r="C8" s="1492"/>
      <c r="D8" s="1492"/>
      <c r="E8" s="1492"/>
      <c r="F8" s="1492"/>
      <c r="G8" s="1492"/>
      <c r="H8" s="1492"/>
      <c r="I8" s="1492"/>
      <c r="J8" s="1492"/>
      <c r="K8" s="1492"/>
      <c r="L8" s="1492"/>
      <c r="M8" s="1492"/>
      <c r="N8" s="1492"/>
      <c r="O8" s="1492"/>
      <c r="P8" s="1492"/>
      <c r="Q8" s="1492"/>
      <c r="R8" s="1492"/>
      <c r="S8" s="1492"/>
      <c r="T8" s="1492"/>
      <c r="U8" s="1492"/>
      <c r="V8" s="1492"/>
      <c r="W8" s="1492"/>
      <c r="X8" s="1492"/>
      <c r="Y8" s="1492"/>
    </row>
    <row r="9" spans="1:29" ht="66" customHeight="1">
      <c r="A9" s="241" t="s">
        <v>32</v>
      </c>
      <c r="B9" s="241" t="s">
        <v>33</v>
      </c>
      <c r="C9" s="239"/>
      <c r="D9" s="239" t="s">
        <v>34</v>
      </c>
      <c r="E9" s="244" t="s">
        <v>35</v>
      </c>
      <c r="F9" s="239">
        <v>2015</v>
      </c>
      <c r="G9" s="239" t="s">
        <v>36</v>
      </c>
      <c r="H9" s="239" t="s">
        <v>37</v>
      </c>
      <c r="I9" s="272" t="s">
        <v>38</v>
      </c>
      <c r="J9" s="300" t="s">
        <v>39</v>
      </c>
      <c r="K9" s="330" t="s">
        <v>40</v>
      </c>
      <c r="L9" s="239" t="s">
        <v>41</v>
      </c>
      <c r="M9" s="239" t="s">
        <v>42</v>
      </c>
      <c r="N9" s="314">
        <v>73300</v>
      </c>
      <c r="O9" s="337">
        <f>N9*0.6</f>
        <v>43980</v>
      </c>
      <c r="P9" s="337">
        <f>O9*0.001*365*0.9</f>
        <v>14447.43</v>
      </c>
      <c r="Q9" s="331" t="s">
        <v>43</v>
      </c>
      <c r="R9" s="333" t="s">
        <v>44</v>
      </c>
      <c r="S9" s="337">
        <f>P9/0.112194</f>
        <v>128771.85945772502</v>
      </c>
      <c r="T9" s="332"/>
      <c r="U9" s="248" t="s">
        <v>29</v>
      </c>
      <c r="V9" s="248"/>
      <c r="W9" s="239"/>
      <c r="X9" s="243" t="s">
        <v>30</v>
      </c>
      <c r="Y9" s="833" t="s">
        <v>31</v>
      </c>
    </row>
    <row r="10" spans="1:29" ht="64.5" customHeight="1">
      <c r="A10" s="241" t="s">
        <v>46</v>
      </c>
      <c r="B10" s="241" t="s">
        <v>33</v>
      </c>
      <c r="C10" s="239" t="s">
        <v>47</v>
      </c>
      <c r="D10" s="239" t="s">
        <v>48</v>
      </c>
      <c r="E10" s="244" t="s">
        <v>35</v>
      </c>
      <c r="F10" s="239">
        <v>2016</v>
      </c>
      <c r="G10" s="239" t="s">
        <v>49</v>
      </c>
      <c r="H10" s="239" t="s">
        <v>50</v>
      </c>
      <c r="I10" s="272" t="s">
        <v>51</v>
      </c>
      <c r="J10" s="334" t="s">
        <v>2156</v>
      </c>
      <c r="K10" s="566" t="s">
        <v>2157</v>
      </c>
      <c r="L10" s="239" t="s">
        <v>52</v>
      </c>
      <c r="M10" s="239" t="s">
        <v>42</v>
      </c>
      <c r="N10" s="336">
        <f>O10/0.6</f>
        <v>569223.74429223745</v>
      </c>
      <c r="O10" s="834">
        <f>P10/(0.001*365*0.9)</f>
        <v>341534.24657534243</v>
      </c>
      <c r="P10" s="337">
        <f>S10*0.112194</f>
        <v>112194</v>
      </c>
      <c r="Q10" s="241" t="s">
        <v>53</v>
      </c>
      <c r="R10" s="340" t="s">
        <v>55</v>
      </c>
      <c r="S10" s="338">
        <v>1000000</v>
      </c>
      <c r="T10" s="339" t="s">
        <v>54</v>
      </c>
      <c r="U10" s="340" t="s">
        <v>29</v>
      </c>
      <c r="V10" s="333">
        <f>11548*2</f>
        <v>23096</v>
      </c>
      <c r="W10" s="239"/>
      <c r="X10" s="243" t="s">
        <v>30</v>
      </c>
      <c r="Y10" s="239" t="s">
        <v>45</v>
      </c>
    </row>
    <row r="11" spans="1:29" ht="64.5" customHeight="1">
      <c r="A11" s="287" t="s">
        <v>57</v>
      </c>
      <c r="B11" s="287" t="s">
        <v>33</v>
      </c>
      <c r="C11" s="286" t="s">
        <v>58</v>
      </c>
      <c r="D11" s="286" t="s">
        <v>59</v>
      </c>
      <c r="E11" s="499" t="s">
        <v>35</v>
      </c>
      <c r="F11" s="271" t="s">
        <v>60</v>
      </c>
      <c r="G11" s="286" t="s">
        <v>61</v>
      </c>
      <c r="H11" s="271" t="s">
        <v>62</v>
      </c>
      <c r="I11" s="271" t="s">
        <v>63</v>
      </c>
      <c r="J11" s="341" t="s">
        <v>64</v>
      </c>
      <c r="K11" s="671"/>
      <c r="L11" s="272" t="s">
        <v>65</v>
      </c>
      <c r="M11" s="272" t="s">
        <v>66</v>
      </c>
      <c r="N11" s="835">
        <f>O11/0.6</f>
        <v>730593.60730593605</v>
      </c>
      <c r="O11" s="835">
        <f>P11/(0.001*365*0.9)</f>
        <v>438356.16438356164</v>
      </c>
      <c r="P11" s="343">
        <v>144000</v>
      </c>
      <c r="Q11" s="331" t="s">
        <v>53</v>
      </c>
      <c r="R11" s="344" t="s">
        <v>44</v>
      </c>
      <c r="S11" s="337">
        <f>P11/0.112194</f>
        <v>1283491.095780523</v>
      </c>
      <c r="T11" s="672"/>
      <c r="U11" s="671"/>
      <c r="V11" s="661"/>
      <c r="W11" s="286"/>
      <c r="X11" s="286"/>
      <c r="Y11" s="286" t="s">
        <v>56</v>
      </c>
    </row>
    <row r="12" spans="1:29" ht="48.75" customHeight="1">
      <c r="A12" s="241" t="s">
        <v>2718</v>
      </c>
      <c r="B12" s="241" t="s">
        <v>33</v>
      </c>
      <c r="C12" s="239" t="s">
        <v>68</v>
      </c>
      <c r="D12" s="239" t="s">
        <v>69</v>
      </c>
      <c r="E12" s="244" t="s">
        <v>35</v>
      </c>
      <c r="F12" s="239">
        <v>2015</v>
      </c>
      <c r="G12" s="239" t="s">
        <v>70</v>
      </c>
      <c r="H12" s="788" t="s">
        <v>2720</v>
      </c>
      <c r="I12" s="239"/>
      <c r="J12" s="334" t="s">
        <v>2717</v>
      </c>
      <c r="K12" s="340" t="s">
        <v>71</v>
      </c>
      <c r="L12" s="239" t="s">
        <v>72</v>
      </c>
      <c r="M12" s="239" t="s">
        <v>73</v>
      </c>
      <c r="N12" s="239"/>
      <c r="O12" s="836">
        <v>108000</v>
      </c>
      <c r="P12" s="747">
        <v>35478</v>
      </c>
      <c r="Q12" s="241" t="s">
        <v>53</v>
      </c>
      <c r="R12" s="333" t="s">
        <v>44</v>
      </c>
      <c r="S12" s="696">
        <v>314122</v>
      </c>
      <c r="T12" s="332" t="s">
        <v>71</v>
      </c>
      <c r="U12" s="340"/>
      <c r="V12" s="345"/>
      <c r="W12" s="239"/>
      <c r="X12" s="243" t="s">
        <v>157</v>
      </c>
      <c r="Y12" s="239" t="s">
        <v>2719</v>
      </c>
    </row>
    <row r="13" spans="1:29" ht="48.75" customHeight="1">
      <c r="A13" s="241" t="s">
        <v>75</v>
      </c>
      <c r="B13" s="241" t="s">
        <v>33</v>
      </c>
      <c r="C13" s="239" t="s">
        <v>76</v>
      </c>
      <c r="D13" s="239" t="s">
        <v>77</v>
      </c>
      <c r="E13" s="244" t="s">
        <v>35</v>
      </c>
      <c r="F13" s="346">
        <v>43435</v>
      </c>
      <c r="G13" s="239" t="s">
        <v>78</v>
      </c>
      <c r="H13" s="272" t="s">
        <v>79</v>
      </c>
      <c r="I13" s="300" t="s">
        <v>80</v>
      </c>
      <c r="J13" s="314" t="s">
        <v>81</v>
      </c>
      <c r="K13" s="314">
        <v>1080</v>
      </c>
      <c r="L13" s="239" t="s">
        <v>82</v>
      </c>
      <c r="M13" s="272" t="s">
        <v>83</v>
      </c>
      <c r="N13" s="300" t="s">
        <v>84</v>
      </c>
      <c r="O13" s="347">
        <v>2000000</v>
      </c>
      <c r="P13" s="337">
        <f>O13*(0.001*365*0.9)</f>
        <v>657000</v>
      </c>
      <c r="Q13" s="348" t="s">
        <v>85</v>
      </c>
      <c r="R13" s="350" t="s">
        <v>55</v>
      </c>
      <c r="S13" s="337">
        <f>P13/0.112194</f>
        <v>5855928.1244986365</v>
      </c>
      <c r="T13" s="349" t="s">
        <v>86</v>
      </c>
      <c r="U13" s="300" t="s">
        <v>87</v>
      </c>
      <c r="V13" s="272" t="s">
        <v>88</v>
      </c>
      <c r="W13" s="300"/>
      <c r="X13" s="243" t="s">
        <v>157</v>
      </c>
      <c r="Y13" s="286" t="s">
        <v>74</v>
      </c>
    </row>
    <row r="14" spans="1:29" ht="57" customHeight="1">
      <c r="A14" s="241" t="s">
        <v>90</v>
      </c>
      <c r="B14" s="241" t="s">
        <v>33</v>
      </c>
      <c r="C14" s="239" t="s">
        <v>91</v>
      </c>
      <c r="D14" s="239" t="s">
        <v>2938</v>
      </c>
      <c r="E14" s="244" t="s">
        <v>92</v>
      </c>
      <c r="F14" s="346">
        <v>42856</v>
      </c>
      <c r="G14" s="239" t="s">
        <v>93</v>
      </c>
      <c r="H14" s="272" t="s">
        <v>94</v>
      </c>
      <c r="I14" s="239"/>
      <c r="J14" s="239"/>
      <c r="K14" s="239"/>
      <c r="L14" s="272" t="s">
        <v>95</v>
      </c>
      <c r="M14" s="272" t="s">
        <v>96</v>
      </c>
      <c r="N14" s="239"/>
      <c r="O14" s="835">
        <f>P14/(0.001*365*0.9)</f>
        <v>1155290.715372907</v>
      </c>
      <c r="P14" s="1053">
        <v>379513</v>
      </c>
      <c r="Q14" s="242" t="s">
        <v>85</v>
      </c>
      <c r="R14" s="248" t="s">
        <v>0</v>
      </c>
      <c r="S14" s="244" t="s">
        <v>71</v>
      </c>
      <c r="T14" s="244" t="s">
        <v>71</v>
      </c>
      <c r="U14" s="239"/>
      <c r="V14" s="239"/>
      <c r="W14" s="272"/>
      <c r="X14" s="243" t="s">
        <v>157</v>
      </c>
      <c r="Y14" s="239" t="s">
        <v>89</v>
      </c>
    </row>
    <row r="15" spans="1:29" ht="51" customHeight="1">
      <c r="A15" s="241" t="s">
        <v>169</v>
      </c>
      <c r="B15" s="287" t="s">
        <v>33</v>
      </c>
      <c r="C15" s="239" t="s">
        <v>170</v>
      </c>
      <c r="D15" s="239" t="s">
        <v>2939</v>
      </c>
      <c r="E15" s="244" t="s">
        <v>171</v>
      </c>
      <c r="F15" s="368" t="s">
        <v>1420</v>
      </c>
      <c r="G15" s="239" t="s">
        <v>170</v>
      </c>
      <c r="H15" s="239" t="s">
        <v>2552</v>
      </c>
      <c r="I15" s="271" t="s">
        <v>172</v>
      </c>
      <c r="J15" s="318" t="s">
        <v>2550</v>
      </c>
      <c r="K15" s="260" t="s">
        <v>2551</v>
      </c>
      <c r="L15" s="239" t="s">
        <v>173</v>
      </c>
      <c r="M15" s="239" t="s">
        <v>174</v>
      </c>
      <c r="N15" s="260">
        <f t="shared" ref="N15:N20" si="0">O15/0.6</f>
        <v>1582952.815829528</v>
      </c>
      <c r="O15" s="337">
        <f>P15/(0.001*365*0.9)</f>
        <v>949771.68949771684</v>
      </c>
      <c r="P15" s="354">
        <v>312000</v>
      </c>
      <c r="Q15" s="348" t="s">
        <v>85</v>
      </c>
      <c r="R15" s="370" t="s">
        <v>157</v>
      </c>
      <c r="S15" s="337">
        <f>P15/0.112194</f>
        <v>2780897.3741911333</v>
      </c>
      <c r="T15" s="369"/>
      <c r="U15" s="239"/>
      <c r="V15" s="239"/>
      <c r="W15" s="239"/>
      <c r="X15" s="239" t="s">
        <v>175</v>
      </c>
      <c r="Y15" s="239" t="s">
        <v>2549</v>
      </c>
    </row>
    <row r="16" spans="1:29" ht="51.75" customHeight="1">
      <c r="A16" s="287" t="s">
        <v>177</v>
      </c>
      <c r="B16" s="287" t="s">
        <v>33</v>
      </c>
      <c r="C16" s="286" t="s">
        <v>178</v>
      </c>
      <c r="D16" s="286" t="s">
        <v>179</v>
      </c>
      <c r="E16" s="499" t="s">
        <v>180</v>
      </c>
      <c r="F16" s="371" t="s">
        <v>181</v>
      </c>
      <c r="G16" s="266" t="s">
        <v>182</v>
      </c>
      <c r="H16" s="266" t="s">
        <v>183</v>
      </c>
      <c r="I16" s="286"/>
      <c r="J16" s="510"/>
      <c r="K16" s="510"/>
      <c r="L16" s="266" t="s">
        <v>184</v>
      </c>
      <c r="M16" s="266" t="s">
        <v>185</v>
      </c>
      <c r="N16" s="337">
        <f t="shared" si="0"/>
        <v>963977.67630644341</v>
      </c>
      <c r="O16" s="337">
        <f>P16/(0.001*365*0.9)</f>
        <v>578386.60578386602</v>
      </c>
      <c r="P16" s="351">
        <v>190000</v>
      </c>
      <c r="Q16" s="673" t="s">
        <v>85</v>
      </c>
      <c r="R16" s="513"/>
      <c r="S16" s="337">
        <f>P16/0.112194</f>
        <v>1693495.1958215234</v>
      </c>
      <c r="T16" s="674"/>
      <c r="U16" s="286"/>
      <c r="V16" s="286"/>
      <c r="W16" s="266"/>
      <c r="X16" s="286"/>
      <c r="Y16" s="286" t="s">
        <v>176</v>
      </c>
    </row>
    <row r="17" spans="1:25" ht="55.35" customHeight="1">
      <c r="A17" s="241" t="s">
        <v>98</v>
      </c>
      <c r="B17" s="241" t="s">
        <v>33</v>
      </c>
      <c r="C17" s="239" t="s">
        <v>99</v>
      </c>
      <c r="D17" s="239" t="s">
        <v>100</v>
      </c>
      <c r="E17" s="244" t="s">
        <v>101</v>
      </c>
      <c r="F17" s="239">
        <v>2010</v>
      </c>
      <c r="G17" s="239" t="s">
        <v>102</v>
      </c>
      <c r="H17" s="239" t="s">
        <v>103</v>
      </c>
      <c r="I17" s="239" t="s">
        <v>104</v>
      </c>
      <c r="J17" s="239" t="s">
        <v>105</v>
      </c>
      <c r="K17" s="340"/>
      <c r="L17" s="239" t="s">
        <v>106</v>
      </c>
      <c r="M17" s="239" t="s">
        <v>107</v>
      </c>
      <c r="N17" s="837">
        <f t="shared" si="0"/>
        <v>747960</v>
      </c>
      <c r="O17" s="837">
        <f>P17/(0.001*365*0.9)</f>
        <v>448776</v>
      </c>
      <c r="P17" s="337">
        <f>S17*0.112194</f>
        <v>147422.916</v>
      </c>
      <c r="Q17" s="242" t="s">
        <v>53</v>
      </c>
      <c r="R17" s="340" t="s">
        <v>108</v>
      </c>
      <c r="S17" s="351">
        <f>3600*365</f>
        <v>1314000</v>
      </c>
      <c r="T17" s="332"/>
      <c r="U17" s="340" t="s">
        <v>109</v>
      </c>
      <c r="V17" s="248"/>
      <c r="W17" s="239"/>
      <c r="X17" s="243" t="s">
        <v>30</v>
      </c>
      <c r="Y17" s="239" t="s">
        <v>97</v>
      </c>
    </row>
    <row r="18" spans="1:25" ht="37.5" customHeight="1">
      <c r="A18" s="241" t="s">
        <v>111</v>
      </c>
      <c r="B18" s="241" t="s">
        <v>33</v>
      </c>
      <c r="C18" s="239" t="s">
        <v>112</v>
      </c>
      <c r="D18" s="249" t="s">
        <v>113</v>
      </c>
      <c r="E18" s="244" t="s">
        <v>101</v>
      </c>
      <c r="F18" s="249">
        <v>2010</v>
      </c>
      <c r="G18" s="267" t="s">
        <v>114</v>
      </c>
      <c r="H18" s="239" t="s">
        <v>115</v>
      </c>
      <c r="I18" s="352" t="s">
        <v>116</v>
      </c>
      <c r="J18" s="314" t="s">
        <v>117</v>
      </c>
      <c r="K18" s="332"/>
      <c r="L18" s="353" t="s">
        <v>118</v>
      </c>
      <c r="M18" s="838"/>
      <c r="N18" s="337">
        <f t="shared" si="0"/>
        <v>336581.66666666669</v>
      </c>
      <c r="O18" s="354">
        <v>201949</v>
      </c>
      <c r="P18" s="839">
        <v>66340</v>
      </c>
      <c r="Q18" s="242" t="s">
        <v>53</v>
      </c>
      <c r="R18" s="356" t="s">
        <v>44</v>
      </c>
      <c r="S18" s="354">
        <v>657000</v>
      </c>
      <c r="T18" s="355"/>
      <c r="U18" s="357" t="s">
        <v>119</v>
      </c>
      <c r="V18" s="357" t="s">
        <v>120</v>
      </c>
      <c r="W18" s="244"/>
      <c r="X18" s="243" t="s">
        <v>30</v>
      </c>
      <c r="Y18" s="239" t="s">
        <v>110</v>
      </c>
    </row>
    <row r="19" spans="1:25" ht="56.25" customHeight="1">
      <c r="A19" s="241" t="s">
        <v>122</v>
      </c>
      <c r="B19" s="241" t="s">
        <v>33</v>
      </c>
      <c r="C19" s="239" t="s">
        <v>123</v>
      </c>
      <c r="D19" s="244" t="s">
        <v>124</v>
      </c>
      <c r="E19" s="244" t="s">
        <v>125</v>
      </c>
      <c r="F19" s="358">
        <v>42948</v>
      </c>
      <c r="G19" s="239" t="s">
        <v>123</v>
      </c>
      <c r="H19" s="239" t="s">
        <v>126</v>
      </c>
      <c r="I19" s="239" t="s">
        <v>127</v>
      </c>
      <c r="J19" s="239"/>
      <c r="K19" s="840"/>
      <c r="L19" s="250" t="s">
        <v>128</v>
      </c>
      <c r="M19" s="239" t="s">
        <v>129</v>
      </c>
      <c r="N19" s="260">
        <f t="shared" si="0"/>
        <v>1111111.111111111</v>
      </c>
      <c r="O19" s="337">
        <f>P19/(0.001*365*0.9)</f>
        <v>666666.66666666663</v>
      </c>
      <c r="P19" s="351">
        <f>600*365</f>
        <v>219000</v>
      </c>
      <c r="Q19" s="331" t="s">
        <v>53</v>
      </c>
      <c r="R19" s="248" t="s">
        <v>108</v>
      </c>
      <c r="S19" s="337">
        <f>P19/0.112194</f>
        <v>1951976.0414995453</v>
      </c>
      <c r="T19" s="244"/>
      <c r="U19" s="248" t="s">
        <v>130</v>
      </c>
      <c r="V19" s="249"/>
      <c r="W19" s="239"/>
      <c r="X19" s="243" t="s">
        <v>30</v>
      </c>
      <c r="Y19" s="239" t="s">
        <v>121</v>
      </c>
    </row>
    <row r="20" spans="1:25" ht="83.25" customHeight="1">
      <c r="A20" s="241" t="s">
        <v>132</v>
      </c>
      <c r="B20" s="241" t="s">
        <v>33</v>
      </c>
      <c r="C20" s="239" t="s">
        <v>133</v>
      </c>
      <c r="D20" s="239" t="s">
        <v>134</v>
      </c>
      <c r="E20" s="244" t="s">
        <v>135</v>
      </c>
      <c r="F20" s="239">
        <v>2018</v>
      </c>
      <c r="G20" s="239" t="s">
        <v>136</v>
      </c>
      <c r="H20" s="272" t="s">
        <v>137</v>
      </c>
      <c r="I20" s="300" t="s">
        <v>138</v>
      </c>
      <c r="J20" s="300" t="s">
        <v>139</v>
      </c>
      <c r="K20" s="300" t="s">
        <v>140</v>
      </c>
      <c r="L20" s="272" t="s">
        <v>141</v>
      </c>
      <c r="M20" s="300" t="s">
        <v>142</v>
      </c>
      <c r="N20" s="359">
        <f t="shared" si="0"/>
        <v>5000000</v>
      </c>
      <c r="O20" s="354">
        <v>3000000</v>
      </c>
      <c r="P20" s="337">
        <f>O20*(0.001*365*0.9)</f>
        <v>985500</v>
      </c>
      <c r="Q20" s="242" t="s">
        <v>85</v>
      </c>
      <c r="R20" s="350" t="s">
        <v>0</v>
      </c>
      <c r="S20" s="337">
        <f>P20/0.112194</f>
        <v>8783892.1867479552</v>
      </c>
      <c r="T20" s="244"/>
      <c r="U20" s="239"/>
      <c r="V20" s="239"/>
      <c r="W20" s="300"/>
      <c r="X20" s="243" t="s">
        <v>157</v>
      </c>
      <c r="Y20" s="286" t="s">
        <v>131</v>
      </c>
    </row>
    <row r="21" spans="1:25" ht="55.35" customHeight="1">
      <c r="A21" s="360" t="s">
        <v>144</v>
      </c>
      <c r="B21" s="241" t="s">
        <v>33</v>
      </c>
      <c r="C21" s="249" t="s">
        <v>146</v>
      </c>
      <c r="D21" s="249" t="s">
        <v>147</v>
      </c>
      <c r="E21" s="249" t="s">
        <v>148</v>
      </c>
      <c r="F21" s="361">
        <v>43556</v>
      </c>
      <c r="G21" s="249" t="s">
        <v>149</v>
      </c>
      <c r="H21" s="267" t="s">
        <v>150</v>
      </c>
      <c r="I21" s="362" t="s">
        <v>151</v>
      </c>
      <c r="J21" s="267" t="s">
        <v>152</v>
      </c>
      <c r="K21" s="330">
        <v>4</v>
      </c>
      <c r="L21" s="267" t="s">
        <v>153</v>
      </c>
      <c r="M21" s="267" t="s">
        <v>154</v>
      </c>
      <c r="N21" s="273">
        <v>21500</v>
      </c>
      <c r="O21" s="837">
        <f>N21*0.6</f>
        <v>12900</v>
      </c>
      <c r="P21" s="337">
        <f>O21*(0.001*365*0.9)</f>
        <v>4237.6500000000005</v>
      </c>
      <c r="Q21" s="331" t="s">
        <v>53</v>
      </c>
      <c r="R21" s="248" t="s">
        <v>44</v>
      </c>
      <c r="S21" s="337">
        <f>P21/0.112194</f>
        <v>37770.736403016206</v>
      </c>
      <c r="T21" s="351">
        <f>365*125</f>
        <v>45625</v>
      </c>
      <c r="U21" s="290"/>
      <c r="V21" s="290"/>
      <c r="W21" s="290"/>
      <c r="X21" s="636"/>
      <c r="Y21" s="239" t="s">
        <v>143</v>
      </c>
    </row>
    <row r="22" spans="1:25" ht="14.25" customHeight="1">
      <c r="A22" s="1492" t="s">
        <v>2868</v>
      </c>
      <c r="B22" s="1492"/>
      <c r="C22" s="1492"/>
      <c r="D22" s="1492"/>
      <c r="E22" s="1492"/>
      <c r="F22" s="1492"/>
      <c r="G22" s="1492"/>
      <c r="H22" s="1492"/>
      <c r="I22" s="1492"/>
      <c r="J22" s="1492"/>
      <c r="K22" s="1492"/>
      <c r="L22" s="1492"/>
      <c r="M22" s="1492"/>
      <c r="N22" s="1492"/>
      <c r="O22" s="1492"/>
      <c r="P22" s="1492"/>
      <c r="Q22" s="1492"/>
      <c r="R22" s="1492"/>
      <c r="S22" s="1492"/>
      <c r="T22" s="1492"/>
      <c r="U22" s="1492"/>
      <c r="V22" s="1492"/>
      <c r="W22" s="1492"/>
      <c r="X22" s="1492"/>
      <c r="Y22" s="1492"/>
    </row>
    <row r="23" spans="1:25" ht="68.45" customHeight="1">
      <c r="A23" s="287" t="s">
        <v>2643</v>
      </c>
      <c r="B23" s="287" t="s">
        <v>145</v>
      </c>
      <c r="C23" s="710" t="s">
        <v>2637</v>
      </c>
      <c r="D23" s="710" t="s">
        <v>934</v>
      </c>
      <c r="E23" s="712" t="s">
        <v>35</v>
      </c>
      <c r="F23" s="710" t="s">
        <v>2635</v>
      </c>
      <c r="G23" s="714" t="s">
        <v>2457</v>
      </c>
      <c r="H23" s="259" t="s">
        <v>2642</v>
      </c>
      <c r="I23" s="286"/>
      <c r="J23" s="714" t="s">
        <v>2639</v>
      </c>
      <c r="K23" s="710" t="s">
        <v>2638</v>
      </c>
      <c r="L23" s="286"/>
      <c r="M23" s="286"/>
      <c r="N23" s="510"/>
      <c r="O23" s="661"/>
      <c r="P23" s="563"/>
      <c r="Q23" s="287"/>
      <c r="R23" s="286"/>
      <c r="S23" s="563"/>
      <c r="T23" s="499"/>
      <c r="U23" s="286"/>
      <c r="V23" s="710" t="s">
        <v>2640</v>
      </c>
      <c r="W23" s="710"/>
      <c r="X23" s="286"/>
      <c r="Y23" s="286" t="s">
        <v>2641</v>
      </c>
    </row>
    <row r="24" spans="1:25" ht="68.45" customHeight="1">
      <c r="A24" s="241" t="s">
        <v>158</v>
      </c>
      <c r="B24" s="241" t="s">
        <v>145</v>
      </c>
      <c r="C24" s="239" t="s">
        <v>160</v>
      </c>
      <c r="D24" s="239" t="s">
        <v>161</v>
      </c>
      <c r="E24" s="244" t="s">
        <v>162</v>
      </c>
      <c r="F24" s="272" t="s">
        <v>3055</v>
      </c>
      <c r="G24" s="272" t="s">
        <v>164</v>
      </c>
      <c r="H24" s="272" t="s">
        <v>165</v>
      </c>
      <c r="I24" s="239"/>
      <c r="J24" s="258" t="s">
        <v>2469</v>
      </c>
      <c r="K24" s="272" t="s">
        <v>166</v>
      </c>
      <c r="L24" s="272" t="s">
        <v>167</v>
      </c>
      <c r="M24" s="239"/>
      <c r="N24" s="239"/>
      <c r="O24" s="244"/>
      <c r="P24" s="696">
        <v>112194</v>
      </c>
      <c r="Q24" s="241" t="s">
        <v>168</v>
      </c>
      <c r="R24" s="239"/>
      <c r="S24" s="244"/>
      <c r="T24" s="695">
        <v>1000000</v>
      </c>
      <c r="U24" s="239"/>
      <c r="V24" s="351">
        <v>42500</v>
      </c>
      <c r="W24" s="239"/>
      <c r="X24" s="239"/>
      <c r="Y24" s="507" t="s">
        <v>2597</v>
      </c>
    </row>
    <row r="25" spans="1:25" ht="68.45" customHeight="1">
      <c r="A25" s="256" t="s">
        <v>3053</v>
      </c>
      <c r="B25" s="287" t="s">
        <v>145</v>
      </c>
      <c r="C25" s="286" t="s">
        <v>3054</v>
      </c>
      <c r="D25" s="286" t="s">
        <v>226</v>
      </c>
      <c r="E25" s="499" t="s">
        <v>227</v>
      </c>
      <c r="F25" s="710" t="s">
        <v>3059</v>
      </c>
      <c r="G25" s="710" t="s">
        <v>3056</v>
      </c>
      <c r="H25" s="710" t="s">
        <v>3060</v>
      </c>
      <c r="I25" s="286"/>
      <c r="J25" s="286"/>
      <c r="K25" s="710">
        <v>1475</v>
      </c>
      <c r="L25" s="710" t="s">
        <v>3057</v>
      </c>
      <c r="M25" s="710" t="s">
        <v>3058</v>
      </c>
      <c r="N25" s="286"/>
      <c r="O25" s="499"/>
      <c r="P25" s="730">
        <v>1380795</v>
      </c>
      <c r="Q25" s="287" t="s">
        <v>85</v>
      </c>
      <c r="R25" s="286"/>
      <c r="S25" s="1022">
        <v>11023000</v>
      </c>
      <c r="T25" s="499"/>
      <c r="U25" s="286"/>
      <c r="V25" s="563"/>
      <c r="W25" s="699"/>
      <c r="X25" s="239"/>
      <c r="Y25" s="1054" t="s">
        <v>3061</v>
      </c>
    </row>
    <row r="26" spans="1:25" ht="51" customHeight="1">
      <c r="A26" s="241" t="s">
        <v>2470</v>
      </c>
      <c r="B26" s="690" t="s">
        <v>145</v>
      </c>
      <c r="C26" s="239" t="s">
        <v>2470</v>
      </c>
      <c r="D26" s="239" t="s">
        <v>2474</v>
      </c>
      <c r="E26" s="244" t="s">
        <v>528</v>
      </c>
      <c r="F26" s="368" t="s">
        <v>2475</v>
      </c>
      <c r="G26" s="239"/>
      <c r="H26" s="258" t="s">
        <v>2579</v>
      </c>
      <c r="I26" s="609" t="s">
        <v>190</v>
      </c>
      <c r="J26" s="318" t="s">
        <v>2471</v>
      </c>
      <c r="K26" s="260" t="s">
        <v>2472</v>
      </c>
      <c r="L26" s="258" t="s">
        <v>2473</v>
      </c>
      <c r="M26" s="239"/>
      <c r="N26" s="337">
        <f>O26/0.6</f>
        <v>942916.40292524069</v>
      </c>
      <c r="O26" s="337">
        <f>P26/(0.001*365*0.9)</f>
        <v>565749.84175514441</v>
      </c>
      <c r="P26" s="337">
        <f>S26*0.112194</f>
        <v>185848.82301656494</v>
      </c>
      <c r="Q26" s="686" t="s">
        <v>85</v>
      </c>
      <c r="R26" s="286" t="s">
        <v>157</v>
      </c>
      <c r="S26" s="689">
        <f>1900000/1.147</f>
        <v>1656495.2048823016</v>
      </c>
      <c r="T26" s="286"/>
      <c r="U26" s="258" t="s">
        <v>353</v>
      </c>
      <c r="V26" s="286"/>
      <c r="W26" s="266"/>
      <c r="X26" s="239"/>
      <c r="Y26" s="239" t="s">
        <v>2580</v>
      </c>
    </row>
    <row r="27" spans="1:25" ht="55.5" customHeight="1">
      <c r="A27" s="287" t="s">
        <v>186</v>
      </c>
      <c r="B27" s="287" t="s">
        <v>145</v>
      </c>
      <c r="C27" s="266" t="s">
        <v>187</v>
      </c>
      <c r="D27" s="286" t="s">
        <v>188</v>
      </c>
      <c r="E27" s="499" t="s">
        <v>101</v>
      </c>
      <c r="F27" s="266" t="s">
        <v>2665</v>
      </c>
      <c r="G27" s="266" t="s">
        <v>189</v>
      </c>
      <c r="H27" s="266" t="s">
        <v>2664</v>
      </c>
      <c r="I27" s="286" t="s">
        <v>190</v>
      </c>
      <c r="J27" s="266" t="s">
        <v>191</v>
      </c>
      <c r="K27" s="266" t="s">
        <v>192</v>
      </c>
      <c r="L27" s="266" t="s">
        <v>193</v>
      </c>
      <c r="M27" s="266" t="s">
        <v>194</v>
      </c>
      <c r="N27" s="278">
        <f>O27/0.6</f>
        <v>1268391.6793505833</v>
      </c>
      <c r="O27" s="278">
        <f>P27/(0.001*365*0.9)</f>
        <v>761035.00761035003</v>
      </c>
      <c r="P27" s="373">
        <v>250000</v>
      </c>
      <c r="Q27" s="374" t="s">
        <v>85</v>
      </c>
      <c r="R27" s="286"/>
      <c r="S27" s="337">
        <f>P27/0.112194</f>
        <v>2228283.1523967413</v>
      </c>
      <c r="T27" s="499"/>
      <c r="U27" s="286"/>
      <c r="V27" s="286"/>
      <c r="W27" s="266"/>
      <c r="X27" s="286" t="s">
        <v>3186</v>
      </c>
      <c r="Y27" s="286" t="s">
        <v>2666</v>
      </c>
    </row>
    <row r="28" spans="1:25" ht="55.5" customHeight="1">
      <c r="A28" s="241" t="s">
        <v>196</v>
      </c>
      <c r="B28" s="241" t="s">
        <v>145</v>
      </c>
      <c r="C28" s="239" t="s">
        <v>197</v>
      </c>
      <c r="D28" s="239" t="s">
        <v>198</v>
      </c>
      <c r="E28" s="244" t="s">
        <v>199</v>
      </c>
      <c r="F28" s="271" t="s">
        <v>200</v>
      </c>
      <c r="G28" s="239" t="s">
        <v>201</v>
      </c>
      <c r="H28" s="329" t="s">
        <v>2581</v>
      </c>
      <c r="I28" s="329" t="s">
        <v>2582</v>
      </c>
      <c r="J28" s="239" t="s">
        <v>202</v>
      </c>
      <c r="K28" s="248" t="s">
        <v>202</v>
      </c>
      <c r="L28" s="271" t="s">
        <v>203</v>
      </c>
      <c r="M28" s="239" t="s">
        <v>204</v>
      </c>
      <c r="N28" s="375">
        <f>O28/0.6</f>
        <v>3240740.7407407407</v>
      </c>
      <c r="O28" s="837">
        <f>P28/(0.001*365*0.9)</f>
        <v>1944444.4444444443</v>
      </c>
      <c r="P28" s="354">
        <f>1750*365</f>
        <v>638750</v>
      </c>
      <c r="Q28" s="241" t="s">
        <v>85</v>
      </c>
      <c r="R28" s="250"/>
      <c r="S28" s="337">
        <f>P28/0.112194</f>
        <v>5693263.4543736745</v>
      </c>
      <c r="T28" s="332">
        <v>7665000</v>
      </c>
      <c r="U28" s="248" t="s">
        <v>29</v>
      </c>
      <c r="V28" s="248">
        <v>8400</v>
      </c>
      <c r="W28" s="239"/>
      <c r="X28" s="286" t="s">
        <v>3186</v>
      </c>
      <c r="Y28" s="239" t="s">
        <v>195</v>
      </c>
    </row>
    <row r="29" spans="1:25" ht="55.5" customHeight="1">
      <c r="A29" s="287" t="s">
        <v>2198</v>
      </c>
      <c r="B29" s="287" t="s">
        <v>145</v>
      </c>
      <c r="C29" s="266" t="s">
        <v>2199</v>
      </c>
      <c r="D29" s="286" t="s">
        <v>2940</v>
      </c>
      <c r="E29" s="499" t="s">
        <v>2190</v>
      </c>
      <c r="F29" s="710" t="s">
        <v>2670</v>
      </c>
      <c r="G29" s="266" t="s">
        <v>871</v>
      </c>
      <c r="H29" s="266" t="s">
        <v>2669</v>
      </c>
      <c r="I29" s="276" t="s">
        <v>190</v>
      </c>
      <c r="J29" s="266" t="s">
        <v>2200</v>
      </c>
      <c r="K29" s="277" t="s">
        <v>2201</v>
      </c>
      <c r="L29" s="266" t="s">
        <v>2202</v>
      </c>
      <c r="M29" s="266" t="s">
        <v>2203</v>
      </c>
      <c r="N29" s="835">
        <f>O29/0.6</f>
        <v>1623541.3495687468</v>
      </c>
      <c r="O29" s="835">
        <f>P29/(0.001*365*0.9)</f>
        <v>974124.80974124803</v>
      </c>
      <c r="P29" s="841">
        <v>320000</v>
      </c>
      <c r="Q29" s="539" t="s">
        <v>85</v>
      </c>
      <c r="R29" s="487"/>
      <c r="S29" s="837"/>
      <c r="T29" s="487"/>
      <c r="U29" s="499"/>
      <c r="V29" s="730" t="s">
        <v>2671</v>
      </c>
      <c r="W29" s="499"/>
      <c r="X29" s="286"/>
      <c r="Y29" s="286" t="s">
        <v>2668</v>
      </c>
    </row>
    <row r="30" spans="1:25" ht="55.5" customHeight="1">
      <c r="A30" s="265" t="s">
        <v>2755</v>
      </c>
      <c r="B30" s="287" t="s">
        <v>145</v>
      </c>
      <c r="C30" s="266" t="s">
        <v>2755</v>
      </c>
      <c r="D30" s="286" t="s">
        <v>2941</v>
      </c>
      <c r="E30" s="499" t="s">
        <v>791</v>
      </c>
      <c r="F30" s="710" t="s">
        <v>2758</v>
      </c>
      <c r="G30" s="266" t="s">
        <v>2756</v>
      </c>
      <c r="H30" s="266" t="s">
        <v>2760</v>
      </c>
      <c r="I30" s="743" t="s">
        <v>2582</v>
      </c>
      <c r="J30" s="286"/>
      <c r="K30" s="486"/>
      <c r="L30" s="286"/>
      <c r="M30" s="286"/>
      <c r="N30" s="842"/>
      <c r="O30" s="842"/>
      <c r="P30" s="842"/>
      <c r="Q30" s="731" t="s">
        <v>85</v>
      </c>
      <c r="R30" s="487"/>
      <c r="S30" s="842"/>
      <c r="T30" s="487"/>
      <c r="U30" s="499"/>
      <c r="V30" s="713" t="s">
        <v>2759</v>
      </c>
      <c r="W30" s="712"/>
      <c r="X30" s="286"/>
      <c r="Y30" s="1055" t="s">
        <v>2757</v>
      </c>
    </row>
    <row r="31" spans="1:25" ht="55.5" customHeight="1">
      <c r="A31" s="287" t="s">
        <v>2545</v>
      </c>
      <c r="B31" s="287" t="s">
        <v>145</v>
      </c>
      <c r="C31" s="286" t="s">
        <v>2636</v>
      </c>
      <c r="D31" s="286" t="s">
        <v>1192</v>
      </c>
      <c r="E31" s="499" t="s">
        <v>622</v>
      </c>
      <c r="F31" s="710" t="s">
        <v>2672</v>
      </c>
      <c r="G31" s="710" t="s">
        <v>2673</v>
      </c>
      <c r="H31" s="710" t="s">
        <v>2674</v>
      </c>
      <c r="I31" s="487"/>
      <c r="J31" s="286"/>
      <c r="K31" s="486"/>
      <c r="L31" s="266" t="s">
        <v>2586</v>
      </c>
      <c r="M31" s="286"/>
      <c r="N31" s="835">
        <f>O31/0.6</f>
        <v>5580923.3891425673</v>
      </c>
      <c r="O31" s="835">
        <f>P31/(0.001*365*0.9)</f>
        <v>3348554.0334855402</v>
      </c>
      <c r="P31" s="843">
        <v>1100000</v>
      </c>
      <c r="Q31" s="731" t="s">
        <v>85</v>
      </c>
      <c r="R31" s="487"/>
      <c r="S31" s="842"/>
      <c r="T31" s="487"/>
      <c r="U31" s="499"/>
      <c r="V31" s="563"/>
      <c r="W31" s="487"/>
      <c r="X31" s="286"/>
      <c r="Y31" s="879" t="s">
        <v>2675</v>
      </c>
    </row>
    <row r="32" spans="1:25" ht="87" customHeight="1">
      <c r="A32" s="287" t="s">
        <v>2456</v>
      </c>
      <c r="B32" s="287" t="s">
        <v>145</v>
      </c>
      <c r="C32" s="286" t="s">
        <v>2457</v>
      </c>
      <c r="D32" s="286" t="s">
        <v>2458</v>
      </c>
      <c r="E32" s="499" t="s">
        <v>148</v>
      </c>
      <c r="F32" s="725">
        <v>45176</v>
      </c>
      <c r="G32" s="710" t="s">
        <v>2457</v>
      </c>
      <c r="H32" s="266" t="s">
        <v>2656</v>
      </c>
      <c r="I32" s="485"/>
      <c r="J32" s="710" t="s">
        <v>2639</v>
      </c>
      <c r="K32" s="486"/>
      <c r="L32" s="286"/>
      <c r="M32" s="286"/>
      <c r="N32" s="677"/>
      <c r="O32" s="842"/>
      <c r="P32" s="563"/>
      <c r="Q32" s="287"/>
      <c r="R32" s="510"/>
      <c r="S32" s="563"/>
      <c r="T32" s="563"/>
      <c r="U32" s="486"/>
      <c r="V32" s="726" t="s">
        <v>2655</v>
      </c>
      <c r="W32" s="710"/>
      <c r="X32" s="286"/>
      <c r="Y32" s="286" t="s">
        <v>2654</v>
      </c>
    </row>
    <row r="33" spans="1:25" ht="14.25" customHeight="1">
      <c r="A33" s="1493" t="s">
        <v>3157</v>
      </c>
      <c r="B33" s="1493"/>
      <c r="C33" s="1493"/>
      <c r="D33" s="1493"/>
      <c r="E33" s="1493"/>
      <c r="F33" s="1493"/>
      <c r="G33" s="1493"/>
      <c r="H33" s="1493"/>
      <c r="I33" s="1493"/>
      <c r="J33" s="1493"/>
      <c r="K33" s="1493"/>
      <c r="L33" s="1493"/>
      <c r="M33" s="1493"/>
      <c r="N33" s="1493"/>
      <c r="O33" s="1493"/>
      <c r="P33" s="1493"/>
      <c r="Q33" s="1493"/>
      <c r="R33" s="1493"/>
      <c r="S33" s="1493"/>
      <c r="T33" s="1493"/>
      <c r="U33" s="1493"/>
      <c r="V33" s="1493"/>
      <c r="W33" s="1493"/>
      <c r="X33" s="1493"/>
      <c r="Y33" s="1493"/>
    </row>
    <row r="34" spans="1:25" ht="49.7" customHeight="1">
      <c r="A34" s="41" t="s">
        <v>250</v>
      </c>
      <c r="B34" s="188" t="s">
        <v>251</v>
      </c>
      <c r="C34" s="42"/>
      <c r="D34" s="42" t="s">
        <v>252</v>
      </c>
      <c r="E34" s="43" t="s">
        <v>35</v>
      </c>
      <c r="F34" s="42"/>
      <c r="G34" s="42" t="s">
        <v>253</v>
      </c>
      <c r="H34" s="44" t="s">
        <v>254</v>
      </c>
      <c r="I34" s="44"/>
      <c r="J34" s="42" t="s">
        <v>255</v>
      </c>
      <c r="K34" s="45"/>
      <c r="L34" s="42" t="s">
        <v>256</v>
      </c>
      <c r="M34" s="42"/>
      <c r="N34" s="1122">
        <f>O34/0.6</f>
        <v>2222222.222222222</v>
      </c>
      <c r="O34" s="1122">
        <f>P34/(0.001*365*0.9)</f>
        <v>1333333.3333333333</v>
      </c>
      <c r="P34" s="208">
        <v>438000</v>
      </c>
      <c r="Q34" s="209" t="s">
        <v>53</v>
      </c>
      <c r="R34" s="45"/>
      <c r="S34" s="196">
        <f>P34/0.112194</f>
        <v>3903952.0829990907</v>
      </c>
      <c r="T34" s="43"/>
      <c r="U34" s="45" t="s">
        <v>257</v>
      </c>
      <c r="V34" s="46" t="s">
        <v>258</v>
      </c>
      <c r="W34" s="42"/>
      <c r="X34" s="47"/>
      <c r="Y34" s="207" t="s">
        <v>249</v>
      </c>
    </row>
    <row r="35" spans="1:25" ht="81" customHeight="1">
      <c r="A35" s="113" t="s">
        <v>260</v>
      </c>
      <c r="B35" s="113" t="s">
        <v>261</v>
      </c>
      <c r="C35" s="112"/>
      <c r="D35" s="112" t="s">
        <v>262</v>
      </c>
      <c r="E35" s="13" t="s">
        <v>35</v>
      </c>
      <c r="F35" s="112"/>
      <c r="G35" s="112" t="s">
        <v>263</v>
      </c>
      <c r="H35" s="112" t="s">
        <v>264</v>
      </c>
      <c r="I35" s="112"/>
      <c r="J35" s="49" t="s">
        <v>265</v>
      </c>
      <c r="K35" s="21"/>
      <c r="L35" s="112" t="s">
        <v>266</v>
      </c>
      <c r="M35" s="112"/>
      <c r="N35" s="846">
        <f>O35/0.6</f>
        <v>7333.3333333333339</v>
      </c>
      <c r="O35" s="50">
        <v>4400</v>
      </c>
      <c r="P35" s="27">
        <f>O35*(0.001*365*0.9)</f>
        <v>1445.4</v>
      </c>
      <c r="Q35" s="113" t="s">
        <v>53</v>
      </c>
      <c r="R35" s="21"/>
      <c r="S35" s="27">
        <f>P35/0.112194</f>
        <v>12883.041873897</v>
      </c>
      <c r="T35" s="51"/>
      <c r="U35" s="21" t="s">
        <v>267</v>
      </c>
      <c r="V35" s="32"/>
      <c r="W35" s="112"/>
      <c r="X35" s="112"/>
      <c r="Y35" s="847" t="s">
        <v>259</v>
      </c>
    </row>
    <row r="36" spans="1:25" ht="55.5" customHeight="1">
      <c r="A36" s="53" t="s">
        <v>269</v>
      </c>
      <c r="B36" s="113" t="s">
        <v>270</v>
      </c>
      <c r="C36" s="183" t="s">
        <v>271</v>
      </c>
      <c r="D36" s="52" t="s">
        <v>272</v>
      </c>
      <c r="E36" s="54" t="s">
        <v>35</v>
      </c>
      <c r="F36" s="55" t="s">
        <v>273</v>
      </c>
      <c r="G36" s="48" t="s">
        <v>274</v>
      </c>
      <c r="H36" s="183" t="s">
        <v>275</v>
      </c>
      <c r="I36" s="183" t="s">
        <v>213</v>
      </c>
      <c r="J36" s="183" t="s">
        <v>276</v>
      </c>
      <c r="K36" s="848">
        <v>100</v>
      </c>
      <c r="L36" s="183" t="s">
        <v>277</v>
      </c>
      <c r="M36" s="183" t="s">
        <v>278</v>
      </c>
      <c r="N36" s="846">
        <f>O36/0.6</f>
        <v>145493.5890410959</v>
      </c>
      <c r="O36" s="36">
        <f>P36/(0.001*365*0.9)</f>
        <v>87296.153424657532</v>
      </c>
      <c r="P36" s="56">
        <f>S36*0.112194</f>
        <v>28676.786400000001</v>
      </c>
      <c r="Q36" s="57" t="s">
        <v>205</v>
      </c>
      <c r="R36" s="59" t="s">
        <v>30</v>
      </c>
      <c r="S36" s="58">
        <v>255600</v>
      </c>
      <c r="T36" s="56">
        <v>657000</v>
      </c>
      <c r="U36" s="60" t="s">
        <v>279</v>
      </c>
      <c r="V36" s="61" t="s">
        <v>280</v>
      </c>
      <c r="W36" s="48"/>
      <c r="X36" s="28" t="s">
        <v>30</v>
      </c>
      <c r="Y36" s="52" t="s">
        <v>268</v>
      </c>
    </row>
    <row r="37" spans="1:25" ht="55.5" customHeight="1">
      <c r="A37" s="113" t="s">
        <v>282</v>
      </c>
      <c r="B37" s="113" t="s">
        <v>251</v>
      </c>
      <c r="C37" s="112"/>
      <c r="D37" s="112" t="s">
        <v>283</v>
      </c>
      <c r="E37" s="13" t="s">
        <v>35</v>
      </c>
      <c r="F37" s="112"/>
      <c r="G37" s="112" t="s">
        <v>284</v>
      </c>
      <c r="H37" s="112" t="s">
        <v>285</v>
      </c>
      <c r="I37" s="112" t="s">
        <v>286</v>
      </c>
      <c r="J37" s="112" t="s">
        <v>287</v>
      </c>
      <c r="K37" s="21"/>
      <c r="L37" s="112" t="s">
        <v>288</v>
      </c>
      <c r="M37" s="112"/>
      <c r="N37" s="112"/>
      <c r="O37" s="22" t="s">
        <v>289</v>
      </c>
      <c r="P37" s="27">
        <f>2400008*(0.001*365*0.9)</f>
        <v>788402.62800000003</v>
      </c>
      <c r="Q37" s="113" t="s">
        <v>290</v>
      </c>
      <c r="R37" s="21"/>
      <c r="S37" s="27">
        <f>P37/0.112194</f>
        <v>7027137.1731108613</v>
      </c>
      <c r="T37" s="51"/>
      <c r="U37" s="21" t="s">
        <v>291</v>
      </c>
      <c r="V37" s="32" t="s">
        <v>292</v>
      </c>
      <c r="W37" s="112"/>
      <c r="X37" s="28" t="s">
        <v>157</v>
      </c>
      <c r="Y37" s="847" t="s">
        <v>281</v>
      </c>
    </row>
    <row r="38" spans="1:25" ht="55.5" customHeight="1">
      <c r="A38" s="241" t="s">
        <v>207</v>
      </c>
      <c r="B38" s="241" t="s">
        <v>208</v>
      </c>
      <c r="C38" s="239" t="s">
        <v>209</v>
      </c>
      <c r="D38" s="239" t="s">
        <v>210</v>
      </c>
      <c r="E38" s="244" t="s">
        <v>35</v>
      </c>
      <c r="F38" s="239">
        <v>2014</v>
      </c>
      <c r="G38" s="239" t="s">
        <v>211</v>
      </c>
      <c r="H38" s="239" t="s">
        <v>212</v>
      </c>
      <c r="I38" s="239" t="s">
        <v>213</v>
      </c>
      <c r="J38" s="239" t="s">
        <v>214</v>
      </c>
      <c r="K38" s="239">
        <v>50</v>
      </c>
      <c r="L38" s="239" t="s">
        <v>215</v>
      </c>
      <c r="M38" s="239" t="s">
        <v>216</v>
      </c>
      <c r="N38" s="250">
        <v>222000</v>
      </c>
      <c r="O38" s="278">
        <f>N38*0.6</f>
        <v>133200</v>
      </c>
      <c r="P38" s="337">
        <f>O38*(0.001*365*0.9)</f>
        <v>43756.200000000004</v>
      </c>
      <c r="Q38" s="241" t="s">
        <v>217</v>
      </c>
      <c r="R38" s="239"/>
      <c r="S38" s="337">
        <f>P38/0.112194</f>
        <v>390004.81309160922</v>
      </c>
      <c r="T38" s="244" t="s">
        <v>29</v>
      </c>
      <c r="U38" s="239" t="s">
        <v>218</v>
      </c>
      <c r="V38" s="239" t="s">
        <v>219</v>
      </c>
      <c r="W38" s="239"/>
      <c r="X38" s="239" t="s">
        <v>29</v>
      </c>
      <c r="Y38" s="507" t="s">
        <v>206</v>
      </c>
    </row>
    <row r="39" spans="1:25" ht="90" customHeight="1">
      <c r="A39" s="113" t="s">
        <v>294</v>
      </c>
      <c r="B39" s="113" t="s">
        <v>261</v>
      </c>
      <c r="C39" s="112"/>
      <c r="D39" s="112" t="s">
        <v>295</v>
      </c>
      <c r="E39" s="13" t="s">
        <v>296</v>
      </c>
      <c r="F39" s="112"/>
      <c r="G39" s="112" t="s">
        <v>297</v>
      </c>
      <c r="H39" s="112" t="s">
        <v>298</v>
      </c>
      <c r="I39" s="112"/>
      <c r="J39" s="112"/>
      <c r="K39" s="23"/>
      <c r="L39" s="112" t="s">
        <v>299</v>
      </c>
      <c r="M39" s="112" t="s">
        <v>300</v>
      </c>
      <c r="N39" s="846">
        <f>O39/0.6</f>
        <v>8000</v>
      </c>
      <c r="O39" s="50">
        <v>4800</v>
      </c>
      <c r="P39" s="27">
        <f>O39*0.001*365*0.9</f>
        <v>1576.8</v>
      </c>
      <c r="Q39" s="113" t="s">
        <v>290</v>
      </c>
      <c r="R39" s="23"/>
      <c r="S39" s="22">
        <f>P39/0.112194</f>
        <v>14054.227498796727</v>
      </c>
      <c r="T39" s="13"/>
      <c r="U39" s="23"/>
      <c r="V39" s="23"/>
      <c r="W39" s="112"/>
      <c r="X39" s="28"/>
      <c r="Y39" s="24" t="s">
        <v>293</v>
      </c>
    </row>
    <row r="40" spans="1:25" ht="66" customHeight="1">
      <c r="A40" s="201" t="s">
        <v>302</v>
      </c>
      <c r="B40" s="113" t="s">
        <v>303</v>
      </c>
      <c r="C40" s="199" t="s">
        <v>304</v>
      </c>
      <c r="D40" s="190" t="s">
        <v>305</v>
      </c>
      <c r="E40" s="190" t="s">
        <v>171</v>
      </c>
      <c r="F40" s="202"/>
      <c r="G40" s="190" t="s">
        <v>306</v>
      </c>
      <c r="H40" s="203" t="s">
        <v>307</v>
      </c>
      <c r="I40" s="202"/>
      <c r="J40" s="203" t="s">
        <v>308</v>
      </c>
      <c r="K40" s="202"/>
      <c r="L40" s="203" t="s">
        <v>309</v>
      </c>
      <c r="M40" s="202"/>
      <c r="N40" s="202"/>
      <c r="O40" s="204"/>
      <c r="P40" s="205"/>
      <c r="Q40" s="109" t="s">
        <v>53</v>
      </c>
      <c r="R40" s="202"/>
      <c r="S40" s="202"/>
      <c r="T40" s="202"/>
      <c r="U40" s="202"/>
      <c r="V40" s="202"/>
      <c r="W40" s="202"/>
      <c r="X40" s="206"/>
      <c r="Y40" s="200" t="s">
        <v>301</v>
      </c>
    </row>
    <row r="41" spans="1:25" ht="66" customHeight="1">
      <c r="A41" s="113" t="s">
        <v>311</v>
      </c>
      <c r="B41" s="113" t="s">
        <v>270</v>
      </c>
      <c r="C41" s="112" t="s">
        <v>312</v>
      </c>
      <c r="D41" s="112" t="s">
        <v>313</v>
      </c>
      <c r="E41" s="13" t="s">
        <v>314</v>
      </c>
      <c r="F41" s="112"/>
      <c r="G41" s="112" t="s">
        <v>315</v>
      </c>
      <c r="H41" s="112" t="s">
        <v>316</v>
      </c>
      <c r="I41" s="112" t="s">
        <v>317</v>
      </c>
      <c r="J41" s="112" t="s">
        <v>318</v>
      </c>
      <c r="K41" s="23"/>
      <c r="L41" s="112" t="s">
        <v>319</v>
      </c>
      <c r="M41" s="112" t="s">
        <v>320</v>
      </c>
      <c r="N41" s="849">
        <v>177000</v>
      </c>
      <c r="O41" s="34">
        <f>N41*0.6</f>
        <v>106200</v>
      </c>
      <c r="P41" s="27">
        <f>O41*0.001*365*0.9</f>
        <v>34886.700000000004</v>
      </c>
      <c r="Q41" s="113" t="s">
        <v>205</v>
      </c>
      <c r="R41" s="23"/>
      <c r="S41" s="22"/>
      <c r="T41" s="13"/>
      <c r="U41" s="23" t="s">
        <v>321</v>
      </c>
      <c r="V41" s="23"/>
      <c r="W41" s="112"/>
      <c r="X41" s="112"/>
      <c r="Y41" s="112" t="s">
        <v>310</v>
      </c>
    </row>
    <row r="42" spans="1:25" ht="42" customHeight="1">
      <c r="A42" s="113" t="s">
        <v>323</v>
      </c>
      <c r="B42" s="113" t="s">
        <v>303</v>
      </c>
      <c r="C42" s="112"/>
      <c r="D42" s="112" t="s">
        <v>324</v>
      </c>
      <c r="E42" s="13" t="s">
        <v>101</v>
      </c>
      <c r="F42" s="112">
        <v>2012</v>
      </c>
      <c r="G42" s="112" t="s">
        <v>325</v>
      </c>
      <c r="H42" s="112" t="s">
        <v>326</v>
      </c>
      <c r="I42" s="112"/>
      <c r="J42" s="112" t="s">
        <v>327</v>
      </c>
      <c r="K42" s="112"/>
      <c r="L42" s="112" t="s">
        <v>328</v>
      </c>
      <c r="M42" s="112"/>
      <c r="N42" s="112"/>
      <c r="O42" s="22">
        <f>P42/(0.001*365*0.9)</f>
        <v>381459.6</v>
      </c>
      <c r="P42" s="22">
        <f>S42*0.112194</f>
        <v>125309.4786</v>
      </c>
      <c r="Q42" s="113" t="s">
        <v>205</v>
      </c>
      <c r="R42" s="25"/>
      <c r="S42" s="22">
        <f>3400*0.9*365</f>
        <v>1116900</v>
      </c>
      <c r="T42" s="22"/>
      <c r="U42" s="112" t="s">
        <v>329</v>
      </c>
      <c r="V42" s="112"/>
      <c r="W42" s="112"/>
      <c r="X42" s="112"/>
      <c r="Y42" s="112" t="s">
        <v>322</v>
      </c>
    </row>
    <row r="43" spans="1:25" ht="42" customHeight="1">
      <c r="A43" s="63" t="s">
        <v>331</v>
      </c>
      <c r="B43" s="111" t="s">
        <v>251</v>
      </c>
      <c r="C43" s="63"/>
      <c r="D43" s="33" t="s">
        <v>332</v>
      </c>
      <c r="E43" s="11" t="s">
        <v>101</v>
      </c>
      <c r="F43" s="40">
        <v>2012</v>
      </c>
      <c r="G43" s="30" t="s">
        <v>333</v>
      </c>
      <c r="H43" s="33" t="s">
        <v>334</v>
      </c>
      <c r="I43" s="33">
        <v>42000</v>
      </c>
      <c r="J43" s="33" t="s">
        <v>335</v>
      </c>
      <c r="K43" s="33"/>
      <c r="L43" s="33"/>
      <c r="M43" s="33"/>
      <c r="N43" s="850">
        <f>O43/(0.001*365*0.9)</f>
        <v>373980</v>
      </c>
      <c r="O43" s="12">
        <f>T43*0.112194</f>
        <v>122852.43000000001</v>
      </c>
      <c r="P43" s="39"/>
      <c r="Q43" s="10" t="s">
        <v>217</v>
      </c>
      <c r="R43" s="40"/>
      <c r="S43" s="64"/>
      <c r="T43" s="39">
        <v>1095000</v>
      </c>
      <c r="U43" s="33"/>
      <c r="V43" s="40" t="s">
        <v>336</v>
      </c>
      <c r="W43" s="33"/>
      <c r="X43" s="112"/>
      <c r="Y43" s="30" t="s">
        <v>330</v>
      </c>
    </row>
    <row r="44" spans="1:25" ht="42" customHeight="1">
      <c r="A44" s="113" t="s">
        <v>338</v>
      </c>
      <c r="B44" s="113" t="s">
        <v>251</v>
      </c>
      <c r="C44" s="112"/>
      <c r="D44" s="112" t="s">
        <v>339</v>
      </c>
      <c r="E44" s="13" t="s">
        <v>199</v>
      </c>
      <c r="F44" s="112">
        <v>2016</v>
      </c>
      <c r="G44" s="112" t="s">
        <v>340</v>
      </c>
      <c r="H44" s="112" t="s">
        <v>341</v>
      </c>
      <c r="I44" s="112"/>
      <c r="J44" s="112" t="s">
        <v>342</v>
      </c>
      <c r="K44" s="112"/>
      <c r="L44" s="112" t="s">
        <v>343</v>
      </c>
      <c r="M44" s="112" t="s">
        <v>344</v>
      </c>
      <c r="N44" s="112"/>
      <c r="O44" s="13"/>
      <c r="P44" s="22"/>
      <c r="Q44" s="113" t="s">
        <v>205</v>
      </c>
      <c r="R44" s="112"/>
      <c r="S44" s="13"/>
      <c r="T44" s="13"/>
      <c r="U44" s="112"/>
      <c r="V44" s="112"/>
      <c r="W44" s="112"/>
      <c r="X44" s="112"/>
      <c r="Y44" s="183" t="s">
        <v>337</v>
      </c>
    </row>
    <row r="45" spans="1:25" ht="97.7" customHeight="1">
      <c r="A45" s="241" t="s">
        <v>239</v>
      </c>
      <c r="B45" s="241" t="s">
        <v>251</v>
      </c>
      <c r="C45" s="239"/>
      <c r="D45" s="239"/>
      <c r="E45" s="244" t="s">
        <v>240</v>
      </c>
      <c r="F45" s="239"/>
      <c r="G45" s="239" t="s">
        <v>241</v>
      </c>
      <c r="H45" s="267" t="s">
        <v>242</v>
      </c>
      <c r="I45" s="285" t="s">
        <v>243</v>
      </c>
      <c r="J45" s="239"/>
      <c r="K45" s="350" t="s">
        <v>244</v>
      </c>
      <c r="L45" s="300" t="s">
        <v>229</v>
      </c>
      <c r="M45" s="239" t="s">
        <v>230</v>
      </c>
      <c r="N45" s="375">
        <f>O45/0.6</f>
        <v>5580923.3891425673</v>
      </c>
      <c r="O45" s="837">
        <f>P45/(0.001*365*0.9)</f>
        <v>3348554.0334855402</v>
      </c>
      <c r="P45" s="354">
        <v>1100000</v>
      </c>
      <c r="Q45" s="242" t="s">
        <v>205</v>
      </c>
      <c r="R45" s="314" t="s">
        <v>55</v>
      </c>
      <c r="S45" s="332"/>
      <c r="T45" s="354">
        <v>9804446</v>
      </c>
      <c r="U45" s="248" t="s">
        <v>29</v>
      </c>
      <c r="V45" s="350" t="s">
        <v>231</v>
      </c>
      <c r="W45" s="300"/>
      <c r="X45" s="300" t="s">
        <v>232</v>
      </c>
      <c r="Y45" s="507" t="s">
        <v>238</v>
      </c>
    </row>
    <row r="46" spans="1:25" ht="45" customHeight="1">
      <c r="A46" s="241" t="s">
        <v>2653</v>
      </c>
      <c r="B46" s="241" t="s">
        <v>251</v>
      </c>
      <c r="C46" s="239" t="s">
        <v>2652</v>
      </c>
      <c r="D46" s="239" t="s">
        <v>2458</v>
      </c>
      <c r="E46" s="244" t="s">
        <v>148</v>
      </c>
      <c r="F46" s="239"/>
      <c r="G46" s="239"/>
      <c r="H46" s="267"/>
      <c r="I46" s="285"/>
      <c r="J46" s="239"/>
      <c r="K46" s="350"/>
      <c r="L46" s="300"/>
      <c r="M46" s="239"/>
      <c r="N46" s="375"/>
      <c r="O46" s="837"/>
      <c r="P46" s="354"/>
      <c r="Q46" s="242"/>
      <c r="R46" s="314"/>
      <c r="S46" s="332"/>
      <c r="T46" s="354"/>
      <c r="U46" s="248"/>
      <c r="V46" s="350"/>
      <c r="W46" s="300"/>
      <c r="X46" s="300"/>
      <c r="Y46" s="866" t="s">
        <v>2651</v>
      </c>
    </row>
    <row r="47" spans="1:25" ht="58.7" customHeight="1">
      <c r="A47" s="287" t="s">
        <v>246</v>
      </c>
      <c r="B47" s="287" t="s">
        <v>303</v>
      </c>
      <c r="C47" s="286"/>
      <c r="D47" s="286" t="s">
        <v>247</v>
      </c>
      <c r="E47" s="499" t="s">
        <v>155</v>
      </c>
      <c r="F47" s="286" t="s">
        <v>2145</v>
      </c>
      <c r="G47" s="286"/>
      <c r="H47" s="380" t="s">
        <v>248</v>
      </c>
      <c r="I47" s="485"/>
      <c r="J47" s="286"/>
      <c r="K47" s="486"/>
      <c r="L47" s="286"/>
      <c r="M47" s="286"/>
      <c r="N47" s="677"/>
      <c r="O47" s="842"/>
      <c r="P47" s="563"/>
      <c r="Q47" s="287" t="s">
        <v>168</v>
      </c>
      <c r="R47" s="510"/>
      <c r="S47" s="563"/>
      <c r="T47" s="563"/>
      <c r="U47" s="486"/>
      <c r="V47" s="486"/>
      <c r="W47" s="286"/>
      <c r="X47" s="286"/>
      <c r="Y47" s="1055" t="s">
        <v>245</v>
      </c>
    </row>
    <row r="48" spans="1:25" ht="58.7" customHeight="1">
      <c r="A48" s="287" t="s">
        <v>2777</v>
      </c>
      <c r="B48" s="241" t="s">
        <v>251</v>
      </c>
      <c r="C48" s="286"/>
      <c r="D48" s="286"/>
      <c r="E48" s="499" t="s">
        <v>101</v>
      </c>
      <c r="F48" s="286" t="s">
        <v>2778</v>
      </c>
      <c r="G48" s="286" t="s">
        <v>2141</v>
      </c>
      <c r="H48" s="286" t="s">
        <v>2779</v>
      </c>
      <c r="I48" s="499" t="s">
        <v>190</v>
      </c>
      <c r="J48" s="286" t="s">
        <v>2780</v>
      </c>
      <c r="K48" s="486" t="s">
        <v>2781</v>
      </c>
      <c r="L48" s="286" t="s">
        <v>236</v>
      </c>
      <c r="M48" s="286"/>
      <c r="N48" s="677"/>
      <c r="O48" s="842"/>
      <c r="P48" s="563"/>
      <c r="Q48" s="287"/>
      <c r="R48" s="510"/>
      <c r="S48" s="563"/>
      <c r="T48" s="563"/>
      <c r="U48" s="486"/>
      <c r="V48" s="486"/>
      <c r="W48" s="286"/>
      <c r="X48" s="286"/>
      <c r="Y48" s="308" t="s">
        <v>223</v>
      </c>
    </row>
    <row r="49" spans="1:29" ht="53.25" customHeight="1">
      <c r="A49" s="287" t="s">
        <v>2785</v>
      </c>
      <c r="B49" s="241" t="s">
        <v>251</v>
      </c>
      <c r="C49" s="286"/>
      <c r="D49" s="286"/>
      <c r="E49" s="499" t="s">
        <v>237</v>
      </c>
      <c r="F49" s="286" t="s">
        <v>2786</v>
      </c>
      <c r="G49" s="286" t="s">
        <v>2141</v>
      </c>
      <c r="H49" s="485" t="s">
        <v>2787</v>
      </c>
      <c r="I49" s="485" t="s">
        <v>190</v>
      </c>
      <c r="J49" s="286" t="s">
        <v>2784</v>
      </c>
      <c r="K49" s="486" t="s">
        <v>2788</v>
      </c>
      <c r="L49" s="286" t="s">
        <v>236</v>
      </c>
      <c r="M49" s="286"/>
      <c r="N49" s="677"/>
      <c r="O49" s="842"/>
      <c r="P49" s="563"/>
      <c r="Q49" s="287"/>
      <c r="R49" s="510"/>
      <c r="S49" s="563"/>
      <c r="T49" s="563"/>
      <c r="U49" s="486"/>
      <c r="V49" s="486"/>
      <c r="W49" s="286"/>
      <c r="X49" s="286"/>
      <c r="Y49" s="308" t="s">
        <v>223</v>
      </c>
    </row>
    <row r="50" spans="1:29" ht="53.25" customHeight="1">
      <c r="A50" s="808" t="s">
        <v>234</v>
      </c>
      <c r="B50" s="758" t="s">
        <v>251</v>
      </c>
      <c r="C50" s="757"/>
      <c r="D50" s="757"/>
      <c r="E50" s="809" t="s">
        <v>101</v>
      </c>
      <c r="F50" s="757" t="s">
        <v>2782</v>
      </c>
      <c r="G50" s="757" t="s">
        <v>235</v>
      </c>
      <c r="H50" s="757" t="s">
        <v>2783</v>
      </c>
      <c r="I50" s="809" t="s">
        <v>151</v>
      </c>
      <c r="J50" s="759" t="s">
        <v>2784</v>
      </c>
      <c r="K50" s="810" t="s">
        <v>192</v>
      </c>
      <c r="L50" s="759" t="s">
        <v>236</v>
      </c>
      <c r="M50" s="286"/>
      <c r="N50" s="835">
        <f>O50/0.6</f>
        <v>1268391.6793505833</v>
      </c>
      <c r="O50" s="835">
        <f>P50/(0.001*365*0.9)</f>
        <v>761035.00761035003</v>
      </c>
      <c r="P50" s="843">
        <v>250000</v>
      </c>
      <c r="Q50" s="287" t="s">
        <v>85</v>
      </c>
      <c r="R50" s="510"/>
      <c r="S50" s="837">
        <f>P50/0.112194</f>
        <v>2228283.1523967413</v>
      </c>
      <c r="T50" s="563"/>
      <c r="U50" s="486"/>
      <c r="V50" s="486"/>
      <c r="W50" s="286"/>
      <c r="X50" s="286"/>
      <c r="Y50" s="1056" t="s">
        <v>223</v>
      </c>
    </row>
    <row r="51" spans="1:29" ht="47.25" customHeight="1">
      <c r="A51" s="241" t="s">
        <v>346</v>
      </c>
      <c r="B51" s="241" t="s">
        <v>270</v>
      </c>
      <c r="C51" s="239"/>
      <c r="D51" s="239"/>
      <c r="E51" s="244" t="s">
        <v>155</v>
      </c>
      <c r="F51" s="239">
        <v>2011</v>
      </c>
      <c r="G51" s="239" t="s">
        <v>347</v>
      </c>
      <c r="H51" s="239" t="s">
        <v>348</v>
      </c>
      <c r="I51" s="239" t="s">
        <v>349</v>
      </c>
      <c r="J51" s="239" t="s">
        <v>350</v>
      </c>
      <c r="K51" s="248"/>
      <c r="L51" s="239" t="s">
        <v>351</v>
      </c>
      <c r="M51" s="239" t="s">
        <v>352</v>
      </c>
      <c r="N51" s="250"/>
      <c r="O51" s="1050">
        <v>720000</v>
      </c>
      <c r="P51" s="337">
        <f>0.001*365*O51*0.9</f>
        <v>236520</v>
      </c>
      <c r="Q51" s="241" t="s">
        <v>205</v>
      </c>
      <c r="R51" s="248"/>
      <c r="S51" s="337">
        <f>P51/0.112194</f>
        <v>2108134.1248195092</v>
      </c>
      <c r="T51" s="244"/>
      <c r="U51" s="248" t="s">
        <v>353</v>
      </c>
      <c r="V51" s="248" t="s">
        <v>354</v>
      </c>
      <c r="W51" s="239"/>
      <c r="X51" s="239"/>
      <c r="Y51" s="239" t="s">
        <v>345</v>
      </c>
    </row>
    <row r="52" spans="1:29" s="233" customFormat="1" ht="15" customHeight="1">
      <c r="A52" s="1"/>
      <c r="B52" s="1"/>
      <c r="C52" s="1"/>
      <c r="D52" s="1"/>
      <c r="E52" s="1"/>
      <c r="F52" s="66"/>
      <c r="G52" s="66"/>
      <c r="H52" s="1"/>
      <c r="I52" s="1"/>
      <c r="J52" s="1"/>
      <c r="K52" s="1"/>
      <c r="L52" s="1"/>
      <c r="M52" s="1"/>
      <c r="N52" s="1"/>
      <c r="O52" s="1"/>
      <c r="P52" s="1"/>
      <c r="Q52" s="5"/>
      <c r="R52" s="5"/>
      <c r="S52" s="1"/>
      <c r="T52" s="1"/>
      <c r="U52" s="5"/>
      <c r="V52" s="5"/>
      <c r="W52" s="1"/>
      <c r="X52" s="1"/>
      <c r="Y52" s="1"/>
      <c r="Z52" s="1"/>
      <c r="AA52" s="1"/>
    </row>
    <row r="53" spans="1:29" s="317" customFormat="1" ht="15" customHeight="1">
      <c r="A53" s="66"/>
      <c r="B53" s="66"/>
      <c r="C53" s="66"/>
      <c r="D53" s="66"/>
      <c r="E53" s="66"/>
      <c r="F53" s="66"/>
      <c r="G53" s="66"/>
      <c r="H53" s="66"/>
      <c r="I53" s="66"/>
      <c r="J53" s="66"/>
      <c r="K53" s="66"/>
      <c r="L53" s="66"/>
      <c r="M53" s="66"/>
      <c r="N53" s="66"/>
      <c r="O53" s="66"/>
      <c r="P53" s="66"/>
      <c r="Q53" s="67"/>
      <c r="R53" s="67"/>
      <c r="S53" s="66"/>
      <c r="T53" s="66"/>
      <c r="U53" s="67"/>
      <c r="V53" s="67"/>
      <c r="W53" s="66"/>
      <c r="X53" s="66"/>
      <c r="Y53" s="66"/>
      <c r="Z53" s="66"/>
      <c r="AA53" s="66"/>
    </row>
    <row r="54" spans="1:29" ht="30" customHeight="1">
      <c r="A54" s="130" t="s">
        <v>358</v>
      </c>
      <c r="B54" s="73" t="s">
        <v>2866</v>
      </c>
      <c r="D54" s="68"/>
      <c r="E54" s="68"/>
      <c r="F54" s="68"/>
      <c r="G54" s="68"/>
      <c r="H54" s="68"/>
      <c r="I54" s="68"/>
      <c r="J54" s="68"/>
      <c r="K54" s="68"/>
      <c r="L54" s="68"/>
      <c r="M54" s="68"/>
      <c r="N54" s="68"/>
      <c r="O54" s="68"/>
      <c r="P54" s="68"/>
      <c r="Q54" s="68"/>
      <c r="R54" s="68"/>
      <c r="S54" s="69"/>
      <c r="T54" s="69"/>
      <c r="U54" s="68"/>
      <c r="V54" s="68"/>
      <c r="W54" s="69"/>
      <c r="X54" s="69"/>
      <c r="Y54" s="68"/>
      <c r="Z54" s="68"/>
      <c r="AA54" s="68"/>
      <c r="AB54" s="68"/>
      <c r="AC54" s="68"/>
    </row>
    <row r="55" spans="1:29" ht="15" customHeight="1">
      <c r="A55" s="1431" t="s">
        <v>359</v>
      </c>
      <c r="B55" s="1029">
        <f>COUNTA(A9:A21)</f>
        <v>13</v>
      </c>
      <c r="D55" s="66"/>
      <c r="E55" s="66"/>
      <c r="F55" s="66"/>
      <c r="G55" s="66"/>
      <c r="H55" s="66"/>
      <c r="I55" s="66"/>
      <c r="J55" s="66"/>
      <c r="K55" s="66"/>
      <c r="L55" s="66"/>
      <c r="M55" s="66"/>
      <c r="N55" s="66"/>
      <c r="O55" s="66"/>
      <c r="P55" s="66"/>
      <c r="Q55" s="66"/>
      <c r="R55" s="66"/>
      <c r="S55" s="70"/>
      <c r="T55" s="70"/>
      <c r="U55" s="66"/>
      <c r="V55" s="66"/>
      <c r="W55" s="70"/>
      <c r="X55" s="67"/>
      <c r="Y55" s="66"/>
      <c r="Z55" s="66"/>
      <c r="AA55" s="66"/>
      <c r="AB55" s="66"/>
      <c r="AC55" s="71"/>
    </row>
    <row r="56" spans="1:29" ht="15" customHeight="1">
      <c r="A56" s="1428" t="s">
        <v>360</v>
      </c>
      <c r="B56" s="1029">
        <f>COUNTA(A23:A32)</f>
        <v>10</v>
      </c>
      <c r="D56" s="66"/>
      <c r="E56" s="66"/>
      <c r="F56" s="66"/>
      <c r="G56" s="66"/>
      <c r="H56" s="66"/>
      <c r="I56" s="66"/>
      <c r="J56" s="66"/>
      <c r="K56" s="66"/>
      <c r="L56" s="66"/>
      <c r="M56" s="66"/>
      <c r="N56" s="66"/>
      <c r="O56" s="66"/>
      <c r="P56" s="66"/>
      <c r="Q56" s="66"/>
      <c r="R56" s="66"/>
      <c r="S56" s="70"/>
      <c r="T56" s="70"/>
      <c r="U56" s="66"/>
      <c r="V56" s="66"/>
      <c r="W56" s="70"/>
      <c r="X56" s="67"/>
      <c r="Y56" s="66"/>
      <c r="Z56" s="66"/>
      <c r="AA56" s="66"/>
      <c r="AB56" s="66"/>
      <c r="AC56" s="72"/>
    </row>
    <row r="57" spans="1:29" ht="15" customHeight="1">
      <c r="A57" s="1428" t="s">
        <v>361</v>
      </c>
      <c r="B57" s="1029">
        <v>20</v>
      </c>
      <c r="D57" s="66"/>
      <c r="E57" s="66"/>
      <c r="F57" s="66"/>
      <c r="G57" s="66"/>
      <c r="H57" s="66"/>
      <c r="I57" s="66"/>
      <c r="J57" s="66"/>
      <c r="K57" s="66"/>
      <c r="L57" s="66"/>
      <c r="M57" s="66"/>
      <c r="N57" s="66"/>
      <c r="O57" s="66"/>
      <c r="P57" s="66"/>
      <c r="Q57" s="66"/>
      <c r="R57" s="66"/>
      <c r="S57" s="70"/>
      <c r="T57" s="70"/>
      <c r="U57" s="66"/>
      <c r="V57" s="66"/>
      <c r="W57" s="70"/>
      <c r="X57" s="67"/>
      <c r="Y57" s="66"/>
      <c r="Z57" s="66"/>
      <c r="AA57" s="66"/>
      <c r="AB57" s="66"/>
      <c r="AC57" s="71"/>
    </row>
    <row r="58" spans="1:29" ht="15" customHeight="1">
      <c r="A58" s="74"/>
      <c r="B58" s="75"/>
    </row>
    <row r="59" spans="1:29" ht="15" customHeight="1">
      <c r="A59" s="1"/>
      <c r="B59" s="1"/>
    </row>
    <row r="60" spans="1:29" ht="32.450000000000003" customHeight="1">
      <c r="A60" s="130" t="s">
        <v>3178</v>
      </c>
      <c r="B60" s="1051" t="s">
        <v>2866</v>
      </c>
    </row>
    <row r="61" spans="1:29" ht="15" customHeight="1">
      <c r="A61" s="1428" t="s">
        <v>3177</v>
      </c>
      <c r="B61" s="1283">
        <f>SUM(P9:P21)</f>
        <v>3267132.9959999998</v>
      </c>
    </row>
    <row r="62" spans="1:29" ht="20.100000000000001" customHeight="1">
      <c r="A62" s="1429" t="s">
        <v>3176</v>
      </c>
      <c r="B62" s="1430">
        <f>SUM(P23:P32)</f>
        <v>3987587.8230165648</v>
      </c>
    </row>
    <row r="63" spans="1:29" ht="18" customHeight="1"/>
    <row r="64" spans="1:29" ht="14.25" customHeight="1"/>
    <row r="65" ht="15.7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sheetData>
  <autoFilter ref="A7:AB51" xr:uid="{00000000-0001-0000-0300-000000000000}"/>
  <mergeCells count="8">
    <mergeCell ref="A22:Y22"/>
    <mergeCell ref="A8:Y8"/>
    <mergeCell ref="A33:Y33"/>
    <mergeCell ref="F6:I6"/>
    <mergeCell ref="J6:M6"/>
    <mergeCell ref="N6:U6"/>
    <mergeCell ref="A6:E6"/>
    <mergeCell ref="V6:Y6"/>
  </mergeCells>
  <dataValidations count="3">
    <dataValidation type="list" allowBlank="1" sqref="N37:O37" xr:uid="{00000000-0002-0000-0300-000000000000}">
      <formula1>"Pipeline,Vehicle Fuel,Both,Unknown,Other"</formula1>
    </dataValidation>
    <dataValidation type="list" allowBlank="1" sqref="M19" xr:uid="{00000000-0002-0000-0300-000002000000}">
      <formula1>"Vehicle fuel,Pipeline,Both,Other,Unknown"</formula1>
    </dataValidation>
    <dataValidation type="list" allowBlank="1" showErrorMessage="1" sqref="C35 R15:R16" xr:uid="{00000000-0002-0000-0300-000003000000}">
      <formula1>#REF!</formula1>
    </dataValidation>
  </dataValidations>
  <hyperlinks>
    <hyperlink ref="Y9" r:id="rId1" xr:uid="{00000000-0004-0000-0300-000000000000}"/>
    <hyperlink ref="Y24" r:id="rId2" display="https://www.bioenergy-news.com/news/green-era-bp-partner-to-sell-rng-produced-via-chicago-ad-project/_x000a_https://www.greenerachicago.com/_x000a_https://www.wastedive.com/news/chicago-green-era-urban-farm-anaerobic-digester/583764/_x000a_http://www.gagdc.org/news/3740_x000a_ht" xr:uid="{00000000-0004-0000-0300-000001000000}"/>
    <hyperlink ref="Y38" r:id="rId3" xr:uid="{00000000-0004-0000-0300-000002000000}"/>
    <hyperlink ref="Y40" r:id="rId4" xr:uid="{00000000-0004-0000-0300-000003000000}"/>
    <hyperlink ref="Y35" r:id="rId5" xr:uid="{00000000-0004-0000-0300-000005000000}"/>
    <hyperlink ref="Y37" r:id="rId6" xr:uid="{00000000-0004-0000-0300-000006000000}"/>
    <hyperlink ref="Y27" r:id="rId7" display="https://www.businesswire.com/news/home/20210804006006/en/UGI-and-Synthica-Energy-Partner-to-Develop-Renewable-Natural-Gas" xr:uid="{00000000-0004-0000-0300-000008000000}"/>
    <hyperlink ref="Y45" r:id="rId8" location=":~:text=Point%20Breeze%20Renewable%20Energy%2C%20which,renewable%20natural%20gas%2C%20or%20RNG._x000a_http://pes-companies.com/newsroom/press-release/rng-energy-solutions-and-philadelphia-energy-solutions-partner-to-form-point-breeze-renewable-energy/_x000a_http://www2.philly.com/philly/business/energy/philadelphia-energy-solutions-food-waste-digester-methane-gas-fuel-20180828.html  https://stateimpact.npr.org/pennsylvania/2020/05/07/planned-120m-renewable-energy-plant-at-south-philly-refinery-site-is-not-dead-2/" xr:uid="{00000000-0004-0000-0300-00000A000000}"/>
    <hyperlink ref="Y46" r:id="rId9" display="https://globalnews.ca/news/9945552/enbridge-divert-break-ground-renewable-fuel-facility-washington/" xr:uid="{C9E70E70-A23B-C74C-82D5-82961E5659AB}"/>
    <hyperlink ref="Y31" r:id="rId10" display="https://www.globenewswire.com/news-release/2022/11/01/2545827/0/en/3-Rivers-Energy-Partners-Announces-Project-With-Jack-Daniel-s-to-Convert-Spent-Distillers-Grains-Into-Renewable-Natural-Gas-and-Natural-Commercial-Fertilizer.html" xr:uid="{14021B9A-3F7E-5547-BAA5-B7D9C67D47EF}"/>
    <hyperlink ref="Y47" r:id="rId11" xr:uid="{B1834BB6-A59F-654B-857D-E8C064B37CEE}"/>
    <hyperlink ref="Y30" r:id="rId12" display="https://www.guildassociates.com/guild-associates-and-greengasusa-to-expand-mccall-farms-project/" xr:uid="{16A2B66D-C41E-D843-9ECD-59CC78ACB008}"/>
    <hyperlink ref="Y25" r:id="rId13" display="https://www.rngenergysolutions.com" xr:uid="{874FA20B-256F-D941-BDB7-0991048E258C}"/>
  </hyperlinks>
  <pageMargins left="0.7" right="0.7" top="0.75" bottom="0.75" header="0" footer="0"/>
  <pageSetup orientation="portrait" r:id="rId14"/>
  <extLst>
    <ext xmlns:x14="http://schemas.microsoft.com/office/spreadsheetml/2009/9/main" uri="{CCE6A557-97BC-4b89-ADB6-D9C93CAAB3DF}">
      <x14:dataValidations xmlns:xm="http://schemas.microsoft.com/office/excel/2006/main" count="8">
        <x14:dataValidation type="list" allowBlank="1" showErrorMessage="1" xr:uid="{00000000-0002-0000-0300-000006000000}">
          <x14:formula1>
            <xm:f>'List Values'!$A$23:$A$26</xm:f>
          </x14:formula1>
          <xm:sqref>R17:R21 R9:R14 R26</xm:sqref>
        </x14:dataValidation>
        <x14:dataValidation type="list" allowBlank="1" showErrorMessage="1" xr:uid="{00000000-0002-0000-0300-000007000000}">
          <x14:formula1>
            <xm:f>'List Values'!$A$11:$A$20</xm:f>
          </x14:formula1>
          <xm:sqref>B17:B21 B38 B9:B15 B23:B32 B47</xm:sqref>
        </x14:dataValidation>
        <x14:dataValidation type="list" allowBlank="1" xr:uid="{00000000-0002-0000-0300-000008000000}">
          <x14:formula1>
            <xm:f>'List Values'!$A$2:$A$8</xm:f>
          </x14:formula1>
          <xm:sqref>Q13:R13 Q40:R40 Q38:R38 Q27:R32 Q23:R25 Q47:R49</xm:sqref>
        </x14:dataValidation>
        <x14:dataValidation type="list" allowBlank="1" showErrorMessage="1" xr:uid="{00000000-0002-0000-0300-000009000000}">
          <x14:formula1>
            <xm:f>'List Values'!$A$2:$A$8</xm:f>
          </x14:formula1>
          <xm:sqref>Q9:R12 Q51:R51 Q17:R21 Q14:R15 Q34:R37 Q39:R44 Q26:R28</xm:sqref>
        </x14:dataValidation>
        <x14:dataValidation type="list" allowBlank="1" showInputMessage="1" showErrorMessage="1" xr:uid="{00000000-0002-0000-0300-00000B000000}">
          <x14:formula1>
            <xm:f>'List Values'!$A$11:$A$20</xm:f>
          </x14:formula1>
          <xm:sqref>B51 B34:B37 B39:B44</xm:sqref>
        </x14:dataValidation>
        <x14:dataValidation type="list" allowBlank="1" showErrorMessage="1" xr:uid="{00000000-0002-0000-0300-00000C000000}">
          <x14:formula1>
            <xm:f>'C:\Users\vos\Desktop\Energy Vision\Advisory services\ANL database project\2021 update\Complete database\[2021 update as of 12.20.21 for MM.xlsx]List Values'!#REF!</xm:f>
          </x14:formula1>
          <xm:sqref>Q16:R16 B16</xm:sqref>
        </x14:dataValidation>
        <x14:dataValidation type="list" allowBlank="1" xr:uid="{00000000-0002-0000-0300-00000D000000}">
          <x14:formula1>
            <xm:f>'C:\Users\vos\Desktop\Energy Vision\Advisory services\ANL database project\2021 update\Complete database\[2021 update as of 12.20.21 for MM.xlsx]List Values'!#REF!</xm:f>
          </x14:formula1>
          <xm:sqref>Q45:R49</xm:sqref>
        </x14:dataValidation>
        <x14:dataValidation type="list" allowBlank="1" showInputMessage="1" showErrorMessage="1" xr:uid="{00000000-0002-0000-0300-00000E000000}">
          <x14:formula1>
            <xm:f>'C:\Users\vos\Desktop\Energy Vision\Advisory services\ANL database project\2021 update\Complete database\[2021 update as of 12.20.21 for MM.xlsx]List Values'!#REF!</xm:f>
          </x14:formula1>
          <xm:sqref>B45:B50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7F7F"/>
  </sheetPr>
  <dimension ref="A1:DS196"/>
  <sheetViews>
    <sheetView tabSelected="1" zoomScale="110" zoomScaleNormal="110" workbookViewId="0">
      <pane ySplit="8" topLeftCell="A124" activePane="bottomLeft" state="frozen"/>
      <selection pane="bottomLeft" activeCell="K106" sqref="K106"/>
    </sheetView>
  </sheetViews>
  <sheetFormatPr defaultColWidth="12.625" defaultRowHeight="15" customHeight="1"/>
  <cols>
    <col min="1" max="1" width="18.625" customWidth="1"/>
    <col min="2" max="2" width="14.75" customWidth="1"/>
    <col min="3" max="3" width="11.5" customWidth="1"/>
    <col min="4" max="4" width="8.625" customWidth="1"/>
    <col min="5" max="5" width="7.25" customWidth="1"/>
    <col min="6" max="6" width="8.25" customWidth="1"/>
    <col min="7" max="7" width="4.75" customWidth="1"/>
    <col min="8" max="8" width="8.625" customWidth="1"/>
    <col min="9" max="9" width="9.625" style="1026" customWidth="1"/>
    <col min="10" max="10" width="34.875" customWidth="1"/>
    <col min="11" max="11" width="10.5" customWidth="1"/>
    <col min="12" max="12" width="6.75" customWidth="1"/>
    <col min="13" max="13" width="7" customWidth="1"/>
    <col min="14" max="14" width="7.875" customWidth="1"/>
    <col min="15" max="15" width="7.75" customWidth="1"/>
    <col min="16" max="16" width="12.25" customWidth="1"/>
    <col min="17" max="17" width="8.375" customWidth="1"/>
    <col min="18" max="18" width="8.875" customWidth="1"/>
    <col min="19" max="19" width="9" customWidth="1"/>
    <col min="20" max="20" width="7.5" customWidth="1"/>
    <col min="21" max="21" width="8.875" customWidth="1"/>
    <col min="22" max="22" width="5.75" customWidth="1"/>
    <col min="23" max="23" width="10.875" customWidth="1"/>
    <col min="24" max="24" width="41.875" customWidth="1"/>
    <col min="25" max="25" width="32.125" customWidth="1"/>
    <col min="26" max="26" width="27.625" customWidth="1"/>
    <col min="27" max="27" width="22.125" customWidth="1"/>
    <col min="28" max="28" width="50.625" customWidth="1"/>
    <col min="29" max="29" width="20.5" customWidth="1"/>
    <col min="30" max="46" width="11.125" customWidth="1"/>
  </cols>
  <sheetData>
    <row r="1" spans="1:28" ht="16.5" customHeight="1">
      <c r="A1" s="1302" t="s">
        <v>1</v>
      </c>
      <c r="B1" s="1303" t="s">
        <v>2680</v>
      </c>
      <c r="C1" s="1304"/>
      <c r="D1" s="1305"/>
      <c r="E1" s="1306"/>
      <c r="F1" s="851"/>
      <c r="G1" s="1314" t="s">
        <v>2933</v>
      </c>
      <c r="H1" s="1021"/>
      <c r="I1" s="1295"/>
      <c r="J1" s="1021"/>
      <c r="K1" s="1021"/>
      <c r="L1" s="1021"/>
      <c r="M1" s="1021"/>
      <c r="N1" s="1021"/>
      <c r="O1" s="1021"/>
      <c r="P1" s="1021"/>
      <c r="Q1" s="1021"/>
      <c r="R1" s="1021"/>
      <c r="S1" s="1021"/>
      <c r="T1" s="1021"/>
      <c r="U1" s="1"/>
      <c r="V1" s="1"/>
      <c r="W1" s="1"/>
      <c r="X1" s="1"/>
      <c r="Y1" s="1"/>
      <c r="Z1" s="1"/>
      <c r="AA1" s="1"/>
      <c r="AB1" s="8"/>
    </row>
    <row r="2" spans="1:28" ht="16.5" customHeight="1">
      <c r="A2" s="8"/>
      <c r="B2" s="1307" t="s">
        <v>2</v>
      </c>
      <c r="C2" s="1297"/>
      <c r="D2" s="1298"/>
      <c r="E2" s="1308"/>
      <c r="F2" s="851"/>
      <c r="G2" s="1315" t="s">
        <v>3</v>
      </c>
      <c r="H2" s="1021"/>
      <c r="I2" s="1295"/>
      <c r="J2" s="1021"/>
      <c r="K2" s="1021"/>
      <c r="L2" s="1021"/>
      <c r="M2" s="1021"/>
      <c r="N2" s="1021"/>
      <c r="O2" s="1021"/>
      <c r="P2" s="1021"/>
      <c r="Q2" s="1021"/>
      <c r="R2" s="1296"/>
      <c r="S2" s="1296"/>
      <c r="T2" s="1021"/>
      <c r="U2" s="1"/>
      <c r="V2" s="1"/>
      <c r="W2" s="1"/>
      <c r="X2" s="1"/>
      <c r="Y2" s="1"/>
      <c r="Z2" s="1"/>
      <c r="AA2" s="1"/>
      <c r="AB2" s="1"/>
    </row>
    <row r="3" spans="1:28" ht="16.5" customHeight="1">
      <c r="A3" s="302"/>
      <c r="B3" s="1309" t="s">
        <v>4</v>
      </c>
      <c r="C3" s="1299"/>
      <c r="D3" s="1300"/>
      <c r="E3" s="1310"/>
      <c r="F3" s="8"/>
      <c r="G3" s="8"/>
      <c r="H3" s="1"/>
      <c r="I3" s="5"/>
      <c r="J3" s="1"/>
      <c r="K3" s="1"/>
      <c r="L3" s="1"/>
      <c r="M3" s="1"/>
      <c r="N3" s="1"/>
      <c r="O3" s="1"/>
      <c r="P3" s="1"/>
      <c r="Q3" s="1"/>
      <c r="R3" s="1"/>
      <c r="S3" s="1"/>
      <c r="T3" s="1"/>
      <c r="U3" s="1"/>
      <c r="V3" s="1"/>
      <c r="W3" s="1"/>
      <c r="X3" s="1"/>
      <c r="Y3" s="1"/>
      <c r="Z3" s="1"/>
      <c r="AA3" s="1"/>
      <c r="AB3" s="1"/>
    </row>
    <row r="4" spans="1:28" ht="16.5" customHeight="1">
      <c r="A4" s="8"/>
      <c r="B4" s="1311" t="s">
        <v>363</v>
      </c>
      <c r="C4" s="1301"/>
      <c r="D4" s="1504"/>
      <c r="E4" s="1505"/>
      <c r="F4" s="685"/>
      <c r="G4" s="685"/>
      <c r="H4" s="1"/>
      <c r="I4" s="5"/>
      <c r="J4" s="1"/>
      <c r="K4" s="1"/>
      <c r="L4" s="1"/>
      <c r="M4" s="1"/>
      <c r="N4" s="1"/>
      <c r="O4" s="1"/>
      <c r="P4" s="1"/>
      <c r="Q4" s="1"/>
      <c r="R4" s="1"/>
      <c r="S4" s="1"/>
      <c r="T4" s="1"/>
      <c r="U4" s="1"/>
      <c r="V4" s="1"/>
      <c r="W4" s="1"/>
      <c r="X4" s="1"/>
      <c r="Y4" s="1"/>
      <c r="Z4" s="1"/>
      <c r="AA4" s="1"/>
      <c r="AB4" s="1"/>
    </row>
    <row r="5" spans="1:28" ht="16.5" customHeight="1" thickBot="1">
      <c r="A5" s="8"/>
      <c r="B5" s="1312" t="s">
        <v>364</v>
      </c>
      <c r="C5" s="1313"/>
      <c r="D5" s="1506"/>
      <c r="E5" s="1507"/>
      <c r="F5" s="1"/>
      <c r="G5" s="1"/>
      <c r="H5" s="1"/>
      <c r="I5" s="5"/>
      <c r="J5" s="1"/>
      <c r="K5" s="1"/>
      <c r="L5" s="1"/>
      <c r="M5" s="1"/>
      <c r="N5" s="1"/>
      <c r="O5" s="1"/>
      <c r="P5" s="1"/>
      <c r="Q5" s="1"/>
      <c r="R5" s="1"/>
      <c r="S5" s="1"/>
      <c r="T5" s="1"/>
      <c r="U5" s="1"/>
      <c r="V5" s="1"/>
      <c r="W5" s="1"/>
      <c r="X5" s="1"/>
      <c r="Y5" s="1"/>
      <c r="Z5" s="1"/>
      <c r="AA5" s="1"/>
      <c r="AB5" s="1"/>
    </row>
    <row r="6" spans="1:28" ht="20.45" customHeight="1" thickBot="1">
      <c r="A6" s="1508" t="s">
        <v>3150</v>
      </c>
      <c r="B6" s="1508"/>
      <c r="C6" s="1508"/>
      <c r="D6" s="1508"/>
      <c r="E6" s="1508"/>
      <c r="F6" s="1508"/>
      <c r="G6" s="1508"/>
      <c r="H6" s="1509" t="s">
        <v>365</v>
      </c>
      <c r="I6" s="1510"/>
      <c r="J6" s="1511"/>
      <c r="K6" s="1512" t="s">
        <v>7</v>
      </c>
      <c r="L6" s="1510"/>
      <c r="M6" s="1511"/>
      <c r="N6" s="1513" t="s">
        <v>8</v>
      </c>
      <c r="O6" s="1514"/>
      <c r="P6" s="1514"/>
      <c r="Q6" s="1514"/>
      <c r="R6" s="1514"/>
      <c r="S6" s="1514"/>
      <c r="T6" s="1514"/>
      <c r="U6" s="1515" t="s">
        <v>366</v>
      </c>
      <c r="V6" s="1516"/>
      <c r="W6" s="1516"/>
      <c r="X6" s="1517"/>
    </row>
    <row r="7" spans="1:28" ht="51.6" customHeight="1">
      <c r="A7" s="212" t="s">
        <v>367</v>
      </c>
      <c r="B7" s="185" t="s">
        <v>2690</v>
      </c>
      <c r="C7" s="80" t="s">
        <v>368</v>
      </c>
      <c r="D7" s="80" t="s">
        <v>369</v>
      </c>
      <c r="E7" s="80" t="s">
        <v>370</v>
      </c>
      <c r="F7" s="80" t="s">
        <v>371</v>
      </c>
      <c r="G7" s="81" t="s">
        <v>13</v>
      </c>
      <c r="H7" s="80" t="s">
        <v>372</v>
      </c>
      <c r="I7" s="80" t="s">
        <v>373</v>
      </c>
      <c r="J7" s="80" t="s">
        <v>374</v>
      </c>
      <c r="K7" s="81" t="s">
        <v>375</v>
      </c>
      <c r="L7" s="81" t="s">
        <v>376</v>
      </c>
      <c r="M7" s="81" t="s">
        <v>377</v>
      </c>
      <c r="N7" s="82" t="s">
        <v>378</v>
      </c>
      <c r="O7" s="83" t="s">
        <v>379</v>
      </c>
      <c r="P7" s="80" t="s">
        <v>2942</v>
      </c>
      <c r="Q7" s="80" t="s">
        <v>3148</v>
      </c>
      <c r="R7" s="83" t="s">
        <v>380</v>
      </c>
      <c r="S7" s="80" t="s">
        <v>381</v>
      </c>
      <c r="T7" s="82" t="s">
        <v>382</v>
      </c>
      <c r="U7" s="80" t="s">
        <v>383</v>
      </c>
      <c r="V7" s="80"/>
      <c r="W7" s="80" t="s">
        <v>2936</v>
      </c>
      <c r="X7" s="212" t="s">
        <v>2935</v>
      </c>
    </row>
    <row r="8" spans="1:28" ht="14.25" customHeight="1">
      <c r="A8" s="1492" t="s">
        <v>2867</v>
      </c>
      <c r="B8" s="1492"/>
      <c r="C8" s="1492"/>
      <c r="D8" s="1492"/>
      <c r="E8" s="1492"/>
      <c r="F8" s="1492"/>
      <c r="G8" s="1492"/>
      <c r="H8" s="1492"/>
      <c r="I8" s="1492"/>
      <c r="J8" s="1492"/>
      <c r="K8" s="1492"/>
      <c r="L8" s="1492"/>
      <c r="M8" s="1492"/>
      <c r="N8" s="1492"/>
      <c r="O8" s="1492"/>
      <c r="P8" s="1492"/>
      <c r="Q8" s="1492"/>
      <c r="R8" s="1492"/>
      <c r="S8" s="1492"/>
      <c r="T8" s="1492"/>
      <c r="U8" s="1492"/>
      <c r="V8" s="1492"/>
      <c r="W8" s="1492"/>
      <c r="X8" s="1492"/>
    </row>
    <row r="9" spans="1:28" ht="65.45" customHeight="1">
      <c r="A9" s="241" t="s">
        <v>384</v>
      </c>
      <c r="B9" s="241" t="s">
        <v>33</v>
      </c>
      <c r="C9" s="239" t="s">
        <v>385</v>
      </c>
      <c r="D9" s="1161">
        <v>10034620</v>
      </c>
      <c r="E9" s="239"/>
      <c r="F9" s="239" t="s">
        <v>386</v>
      </c>
      <c r="G9" s="244" t="s">
        <v>387</v>
      </c>
      <c r="H9" s="381">
        <v>38848</v>
      </c>
      <c r="I9" s="239" t="s">
        <v>388</v>
      </c>
      <c r="J9" s="239" t="s">
        <v>389</v>
      </c>
      <c r="K9" s="300">
        <v>2.7</v>
      </c>
      <c r="L9" s="1200">
        <v>4.3869999999999996</v>
      </c>
      <c r="M9" s="1200">
        <v>0.29699999999999999</v>
      </c>
      <c r="N9" s="260">
        <f>O9/(0.9*0.001*365)</f>
        <v>1627397.2602739725</v>
      </c>
      <c r="O9" s="347">
        <v>534600</v>
      </c>
      <c r="P9" s="241" t="s">
        <v>85</v>
      </c>
      <c r="Q9" s="239" t="s">
        <v>0</v>
      </c>
      <c r="R9" s="1086">
        <f>O9/0.112194</f>
        <v>4764960.6930851918</v>
      </c>
      <c r="S9" s="248"/>
      <c r="T9" s="248" t="s">
        <v>29</v>
      </c>
      <c r="U9" s="239" t="s">
        <v>390</v>
      </c>
      <c r="V9" s="239"/>
      <c r="W9" s="300" t="s">
        <v>30</v>
      </c>
      <c r="X9" s="239" t="s">
        <v>2483</v>
      </c>
    </row>
    <row r="10" spans="1:28" ht="65.45" customHeight="1">
      <c r="A10" s="287" t="s">
        <v>2128</v>
      </c>
      <c r="B10" s="241" t="s">
        <v>33</v>
      </c>
      <c r="C10" s="286" t="s">
        <v>2139</v>
      </c>
      <c r="D10" s="510">
        <v>9509704</v>
      </c>
      <c r="E10" s="286"/>
      <c r="F10" s="286" t="s">
        <v>802</v>
      </c>
      <c r="G10" s="499" t="s">
        <v>387</v>
      </c>
      <c r="H10" s="679">
        <v>45108</v>
      </c>
      <c r="I10" s="286"/>
      <c r="J10" s="714" t="s">
        <v>2600</v>
      </c>
      <c r="K10" s="453">
        <f>(2500*60*24)/1000000</f>
        <v>3.6</v>
      </c>
      <c r="L10" s="1200">
        <v>2.4569999999999999</v>
      </c>
      <c r="M10" s="393">
        <v>0</v>
      </c>
      <c r="N10" s="260">
        <f>(K10*1000000*0.55)</f>
        <v>1980000.0000000002</v>
      </c>
      <c r="O10" s="1551" t="s">
        <v>3187</v>
      </c>
      <c r="P10" s="1065" t="s">
        <v>85</v>
      </c>
      <c r="Q10" s="239" t="s">
        <v>163</v>
      </c>
      <c r="R10" s="1086">
        <f>750000/0.112194</f>
        <v>6684849.457190224</v>
      </c>
      <c r="S10" s="239"/>
      <c r="T10" s="393" t="s">
        <v>803</v>
      </c>
      <c r="U10" s="699" t="s">
        <v>2599</v>
      </c>
      <c r="V10" s="755"/>
      <c r="W10" s="300" t="s">
        <v>30</v>
      </c>
      <c r="X10" s="286" t="s">
        <v>2645</v>
      </c>
    </row>
    <row r="11" spans="1:28" ht="92.45" customHeight="1">
      <c r="A11" s="382" t="s">
        <v>391</v>
      </c>
      <c r="B11" s="241" t="s">
        <v>33</v>
      </c>
      <c r="C11" s="363" t="s">
        <v>392</v>
      </c>
      <c r="D11" s="307">
        <v>63798959</v>
      </c>
      <c r="E11" s="363"/>
      <c r="F11" s="363" t="s">
        <v>393</v>
      </c>
      <c r="G11" s="383" t="s">
        <v>35</v>
      </c>
      <c r="H11" s="384">
        <v>40057</v>
      </c>
      <c r="I11" s="363" t="s">
        <v>394</v>
      </c>
      <c r="J11" s="239" t="s">
        <v>395</v>
      </c>
      <c r="K11" s="309">
        <v>3.47</v>
      </c>
      <c r="L11" s="309">
        <v>6.5039999999999996</v>
      </c>
      <c r="M11" s="363"/>
      <c r="N11" s="260">
        <f>O11/(0.9*0.001*365)</f>
        <v>611004.76712328766</v>
      </c>
      <c r="O11" s="260">
        <f>R11*0.112194</f>
        <v>200715.06599999999</v>
      </c>
      <c r="P11" s="385" t="s">
        <v>43</v>
      </c>
      <c r="Q11" s="363" t="s">
        <v>44</v>
      </c>
      <c r="R11" s="1119">
        <v>1789000</v>
      </c>
      <c r="S11" s="318">
        <v>4927500</v>
      </c>
      <c r="T11" s="853" t="s">
        <v>396</v>
      </c>
      <c r="U11" s="307">
        <v>221400</v>
      </c>
      <c r="V11" s="363"/>
      <c r="W11" s="300" t="s">
        <v>30</v>
      </c>
      <c r="X11" s="665" t="s">
        <v>2484</v>
      </c>
    </row>
    <row r="12" spans="1:28" s="252" customFormat="1" ht="85.5" customHeight="1">
      <c r="A12" s="635" t="s">
        <v>740</v>
      </c>
      <c r="B12" s="635" t="s">
        <v>33</v>
      </c>
      <c r="C12" s="609" t="s">
        <v>741</v>
      </c>
      <c r="D12" s="1154">
        <v>5408895</v>
      </c>
      <c r="E12" s="638"/>
      <c r="F12" s="609" t="s">
        <v>226</v>
      </c>
      <c r="G12" s="653" t="s">
        <v>742</v>
      </c>
      <c r="H12" s="456" t="s">
        <v>748</v>
      </c>
      <c r="I12" s="266" t="s">
        <v>743</v>
      </c>
      <c r="J12" s="266" t="s">
        <v>744</v>
      </c>
      <c r="K12" s="389">
        <f>(2500*60*24)/1000000</f>
        <v>3.6</v>
      </c>
      <c r="L12" s="1204">
        <v>1.92</v>
      </c>
      <c r="M12" s="1204">
        <v>1.92</v>
      </c>
      <c r="N12" s="1155">
        <f>K12*1000000*0.55</f>
        <v>1980000.0000000002</v>
      </c>
      <c r="O12" s="1156">
        <f>N12*(0.001*365*0.9)</f>
        <v>650430.00000000012</v>
      </c>
      <c r="P12" s="558" t="s">
        <v>53</v>
      </c>
      <c r="Q12" s="301" t="s">
        <v>44</v>
      </c>
      <c r="R12" s="1157">
        <f>O12/0.112194</f>
        <v>5797368.8432536507</v>
      </c>
      <c r="S12" s="319">
        <v>5100000</v>
      </c>
      <c r="T12" s="609"/>
      <c r="U12" s="321">
        <v>35000</v>
      </c>
      <c r="V12" s="266"/>
      <c r="W12" s="300" t="s">
        <v>30</v>
      </c>
      <c r="X12" s="609" t="s">
        <v>2534</v>
      </c>
    </row>
    <row r="13" spans="1:28" ht="91.35" customHeight="1">
      <c r="A13" s="241" t="s">
        <v>397</v>
      </c>
      <c r="B13" s="313" t="s">
        <v>33</v>
      </c>
      <c r="C13" s="239" t="s">
        <v>398</v>
      </c>
      <c r="D13" s="387">
        <v>16745404</v>
      </c>
      <c r="E13" s="239"/>
      <c r="F13" s="239" t="s">
        <v>399</v>
      </c>
      <c r="G13" s="244" t="s">
        <v>400</v>
      </c>
      <c r="H13" s="381">
        <v>39873</v>
      </c>
      <c r="I13" s="239" t="s">
        <v>401</v>
      </c>
      <c r="J13" s="239" t="s">
        <v>402</v>
      </c>
      <c r="K13" s="1200">
        <v>2.38</v>
      </c>
      <c r="L13" s="239"/>
      <c r="M13" s="239"/>
      <c r="N13" s="260">
        <f>K13*0.55*1000000</f>
        <v>1309000</v>
      </c>
      <c r="O13" s="278">
        <f>N13*(0.001*365*0.9)</f>
        <v>430006.5</v>
      </c>
      <c r="P13" s="242" t="s">
        <v>85</v>
      </c>
      <c r="Q13" s="239" t="s">
        <v>0</v>
      </c>
      <c r="R13" s="1085">
        <f>O13/0.112194</f>
        <v>3832704.9574843575</v>
      </c>
      <c r="S13" s="248"/>
      <c r="T13" s="286"/>
      <c r="U13" s="307">
        <v>618400</v>
      </c>
      <c r="V13" s="243"/>
      <c r="W13" s="300" t="s">
        <v>30</v>
      </c>
      <c r="X13" s="239" t="s">
        <v>2485</v>
      </c>
    </row>
    <row r="14" spans="1:28" ht="80.25" customHeight="1">
      <c r="A14" s="241" t="s">
        <v>403</v>
      </c>
      <c r="B14" s="419" t="s">
        <v>33</v>
      </c>
      <c r="C14" s="239" t="s">
        <v>404</v>
      </c>
      <c r="D14" s="1162">
        <v>4223369</v>
      </c>
      <c r="E14" s="300">
        <v>455</v>
      </c>
      <c r="F14" s="239" t="s">
        <v>405</v>
      </c>
      <c r="G14" s="244" t="s">
        <v>221</v>
      </c>
      <c r="H14" s="239" t="s">
        <v>2192</v>
      </c>
      <c r="I14" s="271" t="s">
        <v>406</v>
      </c>
      <c r="J14" s="271" t="s">
        <v>407</v>
      </c>
      <c r="K14" s="389">
        <f>(N14/0.55)/1000000</f>
        <v>1.2121212121212119</v>
      </c>
      <c r="L14" s="390"/>
      <c r="M14" s="854"/>
      <c r="N14" s="261">
        <f>O14/(0.001*365*0.9)</f>
        <v>666666.66666666663</v>
      </c>
      <c r="O14" s="391">
        <f>600*365</f>
        <v>219000</v>
      </c>
      <c r="P14" s="242" t="s">
        <v>85</v>
      </c>
      <c r="Q14" s="239"/>
      <c r="R14" s="1085">
        <f>O14/0.112194</f>
        <v>1951976.0414995453</v>
      </c>
      <c r="S14" s="239"/>
      <c r="T14" s="239"/>
      <c r="U14" s="239"/>
      <c r="V14" s="300"/>
      <c r="W14" s="300"/>
      <c r="X14" s="239" t="s">
        <v>2486</v>
      </c>
    </row>
    <row r="15" spans="1:28" ht="80.25" customHeight="1">
      <c r="A15" s="256" t="s">
        <v>3022</v>
      </c>
      <c r="B15" s="419" t="s">
        <v>33</v>
      </c>
      <c r="C15" s="239" t="s">
        <v>3023</v>
      </c>
      <c r="D15" s="1163">
        <v>4849617</v>
      </c>
      <c r="E15" s="992" t="s">
        <v>3025</v>
      </c>
      <c r="F15" s="286" t="s">
        <v>3024</v>
      </c>
      <c r="G15" s="499" t="s">
        <v>221</v>
      </c>
      <c r="H15" s="371">
        <v>45170</v>
      </c>
      <c r="I15" s="286" t="s">
        <v>3026</v>
      </c>
      <c r="J15" s="266" t="s">
        <v>3028</v>
      </c>
      <c r="K15" s="993">
        <v>2.16</v>
      </c>
      <c r="L15" s="286"/>
      <c r="M15" s="551"/>
      <c r="N15" s="801">
        <v>1188000</v>
      </c>
      <c r="O15" s="801">
        <v>390258</v>
      </c>
      <c r="P15" s="241" t="s">
        <v>85</v>
      </c>
      <c r="Q15" s="286"/>
      <c r="R15" s="1084"/>
      <c r="S15" s="286"/>
      <c r="T15" s="286"/>
      <c r="U15" s="286"/>
      <c r="V15" s="286"/>
      <c r="W15" s="286"/>
      <c r="X15" s="1149" t="s">
        <v>3027</v>
      </c>
    </row>
    <row r="16" spans="1:28" ht="68.25" customHeight="1">
      <c r="A16" s="241" t="s">
        <v>408</v>
      </c>
      <c r="B16" s="241" t="s">
        <v>33</v>
      </c>
      <c r="C16" s="239" t="s">
        <v>392</v>
      </c>
      <c r="D16" s="1161">
        <v>29903905</v>
      </c>
      <c r="E16" s="239"/>
      <c r="F16" s="239" t="s">
        <v>409</v>
      </c>
      <c r="G16" s="244" t="s">
        <v>92</v>
      </c>
      <c r="H16" s="381">
        <v>42073</v>
      </c>
      <c r="I16" s="239" t="s">
        <v>2135</v>
      </c>
      <c r="J16" s="239" t="s">
        <v>411</v>
      </c>
      <c r="K16" s="300">
        <v>3.6</v>
      </c>
      <c r="L16" s="1200">
        <v>4.556</v>
      </c>
      <c r="M16" s="1200">
        <v>1.1859999999999999</v>
      </c>
      <c r="N16" s="314">
        <v>1600000</v>
      </c>
      <c r="O16" s="347">
        <v>576000</v>
      </c>
      <c r="P16" s="241" t="s">
        <v>85</v>
      </c>
      <c r="Q16" s="239" t="s">
        <v>0</v>
      </c>
      <c r="R16" s="1085">
        <f>O16/0.112194</f>
        <v>5133964.3831220921</v>
      </c>
      <c r="S16" s="314">
        <v>5486000</v>
      </c>
      <c r="T16" s="314" t="s">
        <v>412</v>
      </c>
      <c r="U16" s="307">
        <v>310000</v>
      </c>
      <c r="V16" s="239"/>
      <c r="W16" s="243" t="s">
        <v>30</v>
      </c>
      <c r="X16" s="239" t="s">
        <v>2487</v>
      </c>
    </row>
    <row r="17" spans="1:24" s="252" customFormat="1" ht="85.5" customHeight="1">
      <c r="A17" s="639" t="s">
        <v>2725</v>
      </c>
      <c r="B17" s="639" t="s">
        <v>33</v>
      </c>
      <c r="C17" s="272" t="s">
        <v>746</v>
      </c>
      <c r="D17" s="1158">
        <v>10510812</v>
      </c>
      <c r="E17" s="609"/>
      <c r="F17" s="609" t="s">
        <v>747</v>
      </c>
      <c r="G17" s="653" t="s">
        <v>92</v>
      </c>
      <c r="H17" s="496" t="s">
        <v>2542</v>
      </c>
      <c r="I17" s="272" t="s">
        <v>749</v>
      </c>
      <c r="J17" s="272" t="s">
        <v>750</v>
      </c>
      <c r="K17" s="266">
        <v>4.2519999999999998</v>
      </c>
      <c r="L17" s="1159">
        <v>4.2519999999999998</v>
      </c>
      <c r="M17" s="1159">
        <v>2.1019999999999999</v>
      </c>
      <c r="N17" s="246">
        <f>(O17/5.5)*10</f>
        <v>1766545.4545454544</v>
      </c>
      <c r="O17" s="458">
        <v>971600</v>
      </c>
      <c r="P17" s="1066" t="s">
        <v>85</v>
      </c>
      <c r="Q17" s="459" t="s">
        <v>0</v>
      </c>
      <c r="R17" s="1120">
        <f>7700000*1.14</f>
        <v>8778000</v>
      </c>
      <c r="S17" s="645"/>
      <c r="T17" s="645"/>
      <c r="U17" s="391" t="s">
        <v>2376</v>
      </c>
      <c r="V17" s="321"/>
      <c r="W17" s="609"/>
      <c r="X17" s="254" t="s">
        <v>2543</v>
      </c>
    </row>
    <row r="18" spans="1:24" s="252" customFormat="1" ht="85.5" customHeight="1">
      <c r="A18" s="639" t="s">
        <v>810</v>
      </c>
      <c r="B18" s="241" t="s">
        <v>33</v>
      </c>
      <c r="C18" s="254" t="s">
        <v>2150</v>
      </c>
      <c r="D18" s="1164">
        <v>28621989</v>
      </c>
      <c r="E18" s="640"/>
      <c r="F18" s="254" t="s">
        <v>811</v>
      </c>
      <c r="G18" s="641" t="s">
        <v>416</v>
      </c>
      <c r="H18" s="738">
        <v>45107</v>
      </c>
      <c r="I18" s="254" t="s">
        <v>812</v>
      </c>
      <c r="J18" s="254" t="s">
        <v>2692</v>
      </c>
      <c r="K18" s="254"/>
      <c r="L18" s="266">
        <v>8.64</v>
      </c>
      <c r="M18" s="855"/>
      <c r="N18" s="261">
        <f>(L18*1000000)*0.55</f>
        <v>4752000</v>
      </c>
      <c r="O18" s="261">
        <f>N18*(0.001*365*0.9)</f>
        <v>1561032</v>
      </c>
      <c r="P18" s="1160" t="s">
        <v>85</v>
      </c>
      <c r="Q18" s="640"/>
      <c r="R18" s="1088">
        <f>O18/0.112194</f>
        <v>13913685.22380876</v>
      </c>
      <c r="S18" s="254"/>
      <c r="T18" s="254"/>
      <c r="U18" s="254"/>
      <c r="V18" s="254"/>
      <c r="W18" s="254"/>
      <c r="X18" s="609" t="s">
        <v>2691</v>
      </c>
    </row>
    <row r="19" spans="1:24" ht="68.25" customHeight="1">
      <c r="A19" s="382" t="s">
        <v>420</v>
      </c>
      <c r="B19" s="382" t="s">
        <v>33</v>
      </c>
      <c r="C19" s="363" t="s">
        <v>421</v>
      </c>
      <c r="D19" s="1161">
        <v>23957886</v>
      </c>
      <c r="E19" s="363"/>
      <c r="F19" s="364" t="s">
        <v>2943</v>
      </c>
      <c r="G19" s="383" t="s">
        <v>422</v>
      </c>
      <c r="H19" s="392" t="s">
        <v>423</v>
      </c>
      <c r="I19" s="363" t="s">
        <v>424</v>
      </c>
      <c r="J19" s="363" t="s">
        <v>425</v>
      </c>
      <c r="K19" s="393">
        <v>5.76</v>
      </c>
      <c r="L19" s="393">
        <v>7.2</v>
      </c>
      <c r="M19" s="393">
        <v>0</v>
      </c>
      <c r="N19" s="260">
        <f>K19*1000000*0.55</f>
        <v>3168000.0000000005</v>
      </c>
      <c r="O19" s="260">
        <f>R19*0.112194</f>
        <v>897552</v>
      </c>
      <c r="P19" s="382" t="s">
        <v>85</v>
      </c>
      <c r="Q19" s="363" t="s">
        <v>157</v>
      </c>
      <c r="R19" s="1119">
        <v>8000000</v>
      </c>
      <c r="S19" s="318">
        <v>9120000</v>
      </c>
      <c r="T19" s="363"/>
      <c r="U19" s="318">
        <v>41000</v>
      </c>
      <c r="V19" s="272"/>
      <c r="W19" s="243" t="s">
        <v>30</v>
      </c>
      <c r="X19" s="239" t="s">
        <v>2488</v>
      </c>
    </row>
    <row r="20" spans="1:24" ht="56.25" customHeight="1">
      <c r="A20" s="241" t="s">
        <v>413</v>
      </c>
      <c r="B20" s="241" t="s">
        <v>33</v>
      </c>
      <c r="C20" s="239" t="s">
        <v>414</v>
      </c>
      <c r="D20" s="1161">
        <v>9199343</v>
      </c>
      <c r="E20" s="239"/>
      <c r="F20" s="239" t="s">
        <v>415</v>
      </c>
      <c r="G20" s="244" t="s">
        <v>416</v>
      </c>
      <c r="H20" s="381" t="s">
        <v>417</v>
      </c>
      <c r="I20" s="239" t="s">
        <v>418</v>
      </c>
      <c r="J20" s="300" t="s">
        <v>419</v>
      </c>
      <c r="K20" s="393">
        <v>0.28799999999999998</v>
      </c>
      <c r="L20" s="1200">
        <v>1.4379999999999999</v>
      </c>
      <c r="M20" s="1200">
        <v>1.1499999999999999</v>
      </c>
      <c r="N20" s="260">
        <f>O20/(0.001*365*0.9)</f>
        <v>54794.520547945205</v>
      </c>
      <c r="O20" s="347">
        <v>18000</v>
      </c>
      <c r="P20" s="385" t="s">
        <v>43</v>
      </c>
      <c r="Q20" s="300" t="s">
        <v>44</v>
      </c>
      <c r="R20" s="1085">
        <f>O20/0.112194</f>
        <v>160436.38697256538</v>
      </c>
      <c r="S20" s="314"/>
      <c r="T20" s="314" t="s">
        <v>29</v>
      </c>
      <c r="U20" s="307">
        <v>27500</v>
      </c>
      <c r="V20" s="239"/>
      <c r="W20" s="243" t="s">
        <v>30</v>
      </c>
      <c r="X20" s="239" t="s">
        <v>2489</v>
      </c>
    </row>
    <row r="21" spans="1:24" ht="72.75" customHeight="1">
      <c r="A21" s="241" t="s">
        <v>751</v>
      </c>
      <c r="B21" s="313" t="s">
        <v>33</v>
      </c>
      <c r="C21" s="239" t="s">
        <v>752</v>
      </c>
      <c r="D21" s="307">
        <v>6154495</v>
      </c>
      <c r="E21" s="308"/>
      <c r="F21" s="239" t="s">
        <v>753</v>
      </c>
      <c r="G21" s="244" t="s">
        <v>416</v>
      </c>
      <c r="H21" s="257" t="s">
        <v>754</v>
      </c>
      <c r="I21" s="239" t="s">
        <v>755</v>
      </c>
      <c r="J21" s="266" t="s">
        <v>756</v>
      </c>
      <c r="K21" s="245">
        <f>N21/(0.55*1000000)</f>
        <v>3.2727272727272729</v>
      </c>
      <c r="L21" s="239"/>
      <c r="M21" s="239"/>
      <c r="N21" s="261">
        <f>O21/(0.001*365*0.9)</f>
        <v>1800000</v>
      </c>
      <c r="O21" s="321">
        <f>1800*365*0.9</f>
        <v>591300</v>
      </c>
      <c r="P21" s="374" t="s">
        <v>85</v>
      </c>
      <c r="Q21" s="239" t="s">
        <v>0</v>
      </c>
      <c r="R21" s="1088">
        <f>O21/0.112194</f>
        <v>5270335.3120487723</v>
      </c>
      <c r="S21" s="248"/>
      <c r="T21" s="248"/>
      <c r="U21" s="250"/>
      <c r="V21" s="239"/>
      <c r="W21" s="239"/>
      <c r="X21" s="609" t="s">
        <v>2132</v>
      </c>
    </row>
    <row r="22" spans="1:24" ht="58.5" customHeight="1">
      <c r="A22" s="287" t="s">
        <v>813</v>
      </c>
      <c r="B22" s="241" t="s">
        <v>33</v>
      </c>
      <c r="C22" s="286" t="s">
        <v>2149</v>
      </c>
      <c r="D22" s="1161">
        <v>21905462</v>
      </c>
      <c r="E22" s="510"/>
      <c r="F22" s="286" t="s">
        <v>814</v>
      </c>
      <c r="G22" s="376" t="s">
        <v>416</v>
      </c>
      <c r="H22" s="1039">
        <v>45200</v>
      </c>
      <c r="I22" s="286" t="s">
        <v>812</v>
      </c>
      <c r="J22" s="710" t="s">
        <v>3089</v>
      </c>
      <c r="K22" s="719">
        <f>(6000*60*24)/1000000</f>
        <v>8.64</v>
      </c>
      <c r="L22" s="1201">
        <v>5.7670000000000003</v>
      </c>
      <c r="M22" s="286"/>
      <c r="N22" s="261">
        <f>L22*1000000</f>
        <v>5767000</v>
      </c>
      <c r="O22" s="261">
        <v>1558500</v>
      </c>
      <c r="P22" s="673" t="s">
        <v>85</v>
      </c>
      <c r="Q22" s="510"/>
      <c r="R22" s="1088">
        <f>O22/0.112194</f>
        <v>13891117.172041286</v>
      </c>
      <c r="S22" s="286"/>
      <c r="T22" s="286"/>
      <c r="U22" s="286"/>
      <c r="V22" s="1201"/>
      <c r="W22" s="286"/>
      <c r="X22" s="286" t="s">
        <v>3092</v>
      </c>
    </row>
    <row r="23" spans="1:24" ht="58.5" customHeight="1">
      <c r="A23" s="287" t="s">
        <v>2148</v>
      </c>
      <c r="B23" s="241" t="s">
        <v>33</v>
      </c>
      <c r="C23" s="286" t="s">
        <v>2149</v>
      </c>
      <c r="D23" s="307">
        <v>12914889</v>
      </c>
      <c r="E23" s="510"/>
      <c r="F23" s="286" t="s">
        <v>494</v>
      </c>
      <c r="G23" s="376" t="s">
        <v>416</v>
      </c>
      <c r="H23" s="1039">
        <v>45261</v>
      </c>
      <c r="I23" s="286" t="s">
        <v>812</v>
      </c>
      <c r="J23" s="710" t="s">
        <v>3090</v>
      </c>
      <c r="K23" s="719">
        <v>4.32</v>
      </c>
      <c r="L23" s="1201">
        <v>2.27</v>
      </c>
      <c r="M23" s="286"/>
      <c r="N23" s="261">
        <f>L23*1000000</f>
        <v>2270000</v>
      </c>
      <c r="O23" s="261">
        <v>831200</v>
      </c>
      <c r="P23" s="673" t="s">
        <v>85</v>
      </c>
      <c r="Q23" s="510"/>
      <c r="R23" s="1088">
        <f>O23/0.112194</f>
        <v>7408595.8250886854</v>
      </c>
      <c r="S23" s="286"/>
      <c r="T23" s="286"/>
      <c r="U23" s="286"/>
      <c r="V23" s="286"/>
      <c r="W23" s="286"/>
      <c r="X23" s="286" t="s">
        <v>3091</v>
      </c>
    </row>
    <row r="24" spans="1:24" ht="93" customHeight="1">
      <c r="A24" s="241" t="s">
        <v>426</v>
      </c>
      <c r="B24" s="241" t="s">
        <v>33</v>
      </c>
      <c r="C24" s="363" t="s">
        <v>427</v>
      </c>
      <c r="D24" s="1161">
        <v>10867646</v>
      </c>
      <c r="E24" s="364"/>
      <c r="F24" s="364" t="s">
        <v>513</v>
      </c>
      <c r="G24" s="365" t="s">
        <v>428</v>
      </c>
      <c r="H24" s="364" t="s">
        <v>429</v>
      </c>
      <c r="I24" s="364" t="s">
        <v>430</v>
      </c>
      <c r="J24" s="272" t="s">
        <v>2151</v>
      </c>
      <c r="K24" s="1202">
        <f>(N24/0.55)/1000000</f>
        <v>2.9887920298879198</v>
      </c>
      <c r="L24" s="1203"/>
      <c r="M24" s="1200">
        <v>0.313</v>
      </c>
      <c r="N24" s="260">
        <f>O24/(0.001*365*0.9)</f>
        <v>1643835.616438356</v>
      </c>
      <c r="O24" s="394">
        <f>45000*12</f>
        <v>540000</v>
      </c>
      <c r="P24" s="1067" t="s">
        <v>85</v>
      </c>
      <c r="Q24" s="395" t="s">
        <v>157</v>
      </c>
      <c r="R24" s="1085">
        <f>O24/0.112194</f>
        <v>4813091.6091769617</v>
      </c>
      <c r="S24" s="364"/>
      <c r="T24" s="364"/>
      <c r="U24" s="307">
        <v>247200</v>
      </c>
      <c r="V24" s="364"/>
      <c r="W24" s="243" t="s">
        <v>30</v>
      </c>
      <c r="X24" s="665" t="s">
        <v>2490</v>
      </c>
    </row>
    <row r="25" spans="1:24" ht="52.5" customHeight="1">
      <c r="A25" s="287" t="s">
        <v>2174</v>
      </c>
      <c r="B25" s="287" t="s">
        <v>33</v>
      </c>
      <c r="C25" s="239" t="s">
        <v>2175</v>
      </c>
      <c r="D25" s="510">
        <v>43185541</v>
      </c>
      <c r="E25" s="239"/>
      <c r="F25" s="239" t="s">
        <v>432</v>
      </c>
      <c r="G25" s="244" t="s">
        <v>428</v>
      </c>
      <c r="H25" s="381">
        <v>37135</v>
      </c>
      <c r="I25" s="239" t="s">
        <v>433</v>
      </c>
      <c r="J25" s="239" t="s">
        <v>434</v>
      </c>
      <c r="K25" s="243">
        <v>7</v>
      </c>
      <c r="L25" s="396">
        <v>8.8559999999999999</v>
      </c>
      <c r="M25" s="396">
        <v>1.905</v>
      </c>
      <c r="N25" s="314">
        <v>2733158</v>
      </c>
      <c r="O25" s="347">
        <v>1000000</v>
      </c>
      <c r="P25" s="241" t="s">
        <v>85</v>
      </c>
      <c r="Q25" s="239" t="s">
        <v>0</v>
      </c>
      <c r="R25" s="1087">
        <f t="shared" ref="R25:R31" si="0">O25/0.112194</f>
        <v>8913132.6095869653</v>
      </c>
      <c r="S25" s="248"/>
      <c r="T25" s="340"/>
      <c r="U25" s="307">
        <v>668000</v>
      </c>
      <c r="V25" s="243"/>
      <c r="W25" s="243" t="s">
        <v>30</v>
      </c>
      <c r="X25" s="239" t="s">
        <v>2491</v>
      </c>
    </row>
    <row r="26" spans="1:24" ht="106.5" customHeight="1">
      <c r="A26" s="241" t="s">
        <v>435</v>
      </c>
      <c r="B26" s="313" t="s">
        <v>33</v>
      </c>
      <c r="C26" s="266" t="s">
        <v>436</v>
      </c>
      <c r="D26" s="1161">
        <v>10392413</v>
      </c>
      <c r="E26" s="315">
        <v>727</v>
      </c>
      <c r="F26" s="364" t="s">
        <v>437</v>
      </c>
      <c r="G26" s="365" t="s">
        <v>224</v>
      </c>
      <c r="H26" s="396" t="s">
        <v>438</v>
      </c>
      <c r="I26" s="312" t="s">
        <v>439</v>
      </c>
      <c r="J26" s="300" t="s">
        <v>440</v>
      </c>
      <c r="K26" s="1200">
        <v>3.1</v>
      </c>
      <c r="L26" s="1200">
        <v>4.0650000000000004</v>
      </c>
      <c r="M26" s="397"/>
      <c r="N26" s="1085">
        <f>(K26*1000000)*0.55</f>
        <v>1705000.0000000002</v>
      </c>
      <c r="O26" s="246">
        <f>N26*0.001*365*0.9</f>
        <v>560092.50000000012</v>
      </c>
      <c r="P26" s="382" t="s">
        <v>85</v>
      </c>
      <c r="Q26" s="395" t="s">
        <v>0</v>
      </c>
      <c r="R26" s="1083">
        <f t="shared" si="0"/>
        <v>4992178.7261350881</v>
      </c>
      <c r="S26" s="1090">
        <v>7482574</v>
      </c>
      <c r="T26" s="364" t="s">
        <v>0</v>
      </c>
      <c r="U26" s="857">
        <v>25000</v>
      </c>
      <c r="V26" s="266"/>
      <c r="W26" s="243"/>
      <c r="X26" s="609" t="s">
        <v>2492</v>
      </c>
    </row>
    <row r="27" spans="1:24" ht="106.5" customHeight="1">
      <c r="A27" s="256" t="s">
        <v>3038</v>
      </c>
      <c r="B27" s="313" t="s">
        <v>33</v>
      </c>
      <c r="C27" s="266" t="s">
        <v>3039</v>
      </c>
      <c r="D27" s="1165">
        <v>6272096</v>
      </c>
      <c r="E27" s="308"/>
      <c r="F27" s="364" t="s">
        <v>100</v>
      </c>
      <c r="G27" s="365" t="s">
        <v>224</v>
      </c>
      <c r="H27" s="1014">
        <v>45139</v>
      </c>
      <c r="I27" s="308" t="s">
        <v>489</v>
      </c>
      <c r="J27" s="710" t="s">
        <v>3041</v>
      </c>
      <c r="K27" s="286"/>
      <c r="L27" s="286"/>
      <c r="M27" s="308"/>
      <c r="N27" s="681"/>
      <c r="O27" s="799">
        <v>483552</v>
      </c>
      <c r="P27" s="731" t="s">
        <v>85</v>
      </c>
      <c r="Q27" s="395" t="s">
        <v>157</v>
      </c>
      <c r="R27" s="1084"/>
      <c r="S27" s="1013"/>
      <c r="T27" s="364"/>
      <c r="U27" s="1015">
        <v>27440</v>
      </c>
      <c r="V27" s="286"/>
      <c r="W27" s="286"/>
      <c r="X27" s="1149" t="s">
        <v>3040</v>
      </c>
    </row>
    <row r="28" spans="1:24" ht="56.25" customHeight="1">
      <c r="A28" s="241" t="s">
        <v>442</v>
      </c>
      <c r="B28" s="313" t="s">
        <v>33</v>
      </c>
      <c r="C28" s="239" t="s">
        <v>443</v>
      </c>
      <c r="D28" s="1161">
        <v>36812118</v>
      </c>
      <c r="E28" s="364"/>
      <c r="F28" s="364" t="s">
        <v>444</v>
      </c>
      <c r="G28" s="365" t="s">
        <v>224</v>
      </c>
      <c r="H28" s="399">
        <v>43191</v>
      </c>
      <c r="I28" s="239" t="s">
        <v>410</v>
      </c>
      <c r="J28" s="243" t="s">
        <v>445</v>
      </c>
      <c r="K28" s="408">
        <f>(N28/0.55)/1000000</f>
        <v>4.5522623495226231</v>
      </c>
      <c r="L28" s="1200">
        <v>5.9640000000000004</v>
      </c>
      <c r="M28" s="1200">
        <v>0.41</v>
      </c>
      <c r="N28" s="1085">
        <f>O28/(0.001*365*0.9)</f>
        <v>2503744.2922374429</v>
      </c>
      <c r="O28" s="314">
        <v>822480</v>
      </c>
      <c r="P28" s="1068" t="s">
        <v>85</v>
      </c>
      <c r="Q28" s="395" t="s">
        <v>0</v>
      </c>
      <c r="R28" s="1085">
        <f t="shared" si="0"/>
        <v>7330873.308733087</v>
      </c>
      <c r="S28" s="430">
        <f>((5000*60*24*365*0.9)*0.55*0.001)/0.112194</f>
        <v>11594737.6865073</v>
      </c>
      <c r="T28" s="364"/>
      <c r="U28" s="307">
        <v>531000</v>
      </c>
      <c r="V28" s="243"/>
      <c r="W28" s="243" t="s">
        <v>30</v>
      </c>
      <c r="X28" s="239" t="s">
        <v>2493</v>
      </c>
    </row>
    <row r="29" spans="1:24" ht="43.5" customHeight="1">
      <c r="A29" s="241" t="s">
        <v>446</v>
      </c>
      <c r="B29" s="241" t="s">
        <v>33</v>
      </c>
      <c r="C29" s="239" t="s">
        <v>447</v>
      </c>
      <c r="D29" s="1161">
        <v>11078324</v>
      </c>
      <c r="E29" s="239"/>
      <c r="F29" s="239" t="s">
        <v>448</v>
      </c>
      <c r="G29" s="244" t="s">
        <v>449</v>
      </c>
      <c r="H29" s="381">
        <v>39539</v>
      </c>
      <c r="I29" s="239" t="s">
        <v>450</v>
      </c>
      <c r="J29" s="239" t="s">
        <v>451</v>
      </c>
      <c r="K29" s="245">
        <f>(N29/0.55)/1000000</f>
        <v>2.2654600802546003</v>
      </c>
      <c r="L29" s="1200">
        <v>4.22</v>
      </c>
      <c r="M29" s="1200">
        <v>1.45</v>
      </c>
      <c r="N29" s="260">
        <f>O29/(0.001*365*0.9)</f>
        <v>1246003.0441400304</v>
      </c>
      <c r="O29" s="314">
        <v>409312</v>
      </c>
      <c r="P29" s="241" t="s">
        <v>85</v>
      </c>
      <c r="Q29" s="239" t="s">
        <v>0</v>
      </c>
      <c r="R29" s="1086">
        <f t="shared" si="0"/>
        <v>3648252.1346952599</v>
      </c>
      <c r="S29" s="333"/>
      <c r="T29" s="248" t="s">
        <v>29</v>
      </c>
      <c r="U29" s="387">
        <v>281500</v>
      </c>
      <c r="V29" s="239"/>
      <c r="W29" s="243" t="s">
        <v>30</v>
      </c>
      <c r="X29" s="239" t="s">
        <v>2494</v>
      </c>
    </row>
    <row r="30" spans="1:24" ht="43.5" customHeight="1">
      <c r="A30" s="241" t="s">
        <v>452</v>
      </c>
      <c r="B30" s="313" t="s">
        <v>33</v>
      </c>
      <c r="C30" s="239" t="s">
        <v>453</v>
      </c>
      <c r="D30" s="1161">
        <v>11538212</v>
      </c>
      <c r="E30" s="316"/>
      <c r="F30" s="316" t="s">
        <v>2944</v>
      </c>
      <c r="G30" s="323" t="s">
        <v>449</v>
      </c>
      <c r="H30" s="316">
        <v>2018</v>
      </c>
      <c r="I30" s="316" t="s">
        <v>454</v>
      </c>
      <c r="J30" s="239" t="s">
        <v>455</v>
      </c>
      <c r="K30" s="400">
        <v>2.95</v>
      </c>
      <c r="L30" s="1200">
        <v>2.95</v>
      </c>
      <c r="M30" s="1200">
        <v>0</v>
      </c>
      <c r="N30" s="260">
        <f>O30/(0.001*365*0.9)</f>
        <v>1622499.2389649923</v>
      </c>
      <c r="O30" s="347">
        <v>532991</v>
      </c>
      <c r="P30" s="1069" t="s">
        <v>85</v>
      </c>
      <c r="Q30" s="247" t="s">
        <v>0</v>
      </c>
      <c r="R30" s="1086">
        <f t="shared" si="0"/>
        <v>4750619.4627163662</v>
      </c>
      <c r="S30" s="314">
        <v>6000000</v>
      </c>
      <c r="T30" s="239" t="s">
        <v>29</v>
      </c>
      <c r="U30" s="307">
        <v>281500</v>
      </c>
      <c r="V30" s="239"/>
      <c r="W30" s="243" t="s">
        <v>30</v>
      </c>
      <c r="X30" s="239" t="s">
        <v>2495</v>
      </c>
    </row>
    <row r="31" spans="1:24" ht="82.5" customHeight="1">
      <c r="A31" s="287" t="s">
        <v>2158</v>
      </c>
      <c r="B31" s="287" t="s">
        <v>33</v>
      </c>
      <c r="C31" s="239" t="s">
        <v>457</v>
      </c>
      <c r="D31" s="1161">
        <v>23412942</v>
      </c>
      <c r="E31" s="239"/>
      <c r="F31" s="239" t="s">
        <v>444</v>
      </c>
      <c r="G31" s="244" t="s">
        <v>449</v>
      </c>
      <c r="H31" s="249" t="s">
        <v>2160</v>
      </c>
      <c r="I31" s="239" t="s">
        <v>458</v>
      </c>
      <c r="J31" s="239" t="s">
        <v>2159</v>
      </c>
      <c r="K31" s="309">
        <v>6.72</v>
      </c>
      <c r="L31" s="1200">
        <v>7.484</v>
      </c>
      <c r="M31" s="239"/>
      <c r="N31" s="260">
        <f>O31/(0.001*365*0.9)</f>
        <v>6666666.666666666</v>
      </c>
      <c r="O31" s="347">
        <v>2190000</v>
      </c>
      <c r="P31" s="385" t="s">
        <v>85</v>
      </c>
      <c r="Q31" s="239" t="s">
        <v>0</v>
      </c>
      <c r="R31" s="1086">
        <f t="shared" si="0"/>
        <v>19519760.414995454</v>
      </c>
      <c r="S31" s="248"/>
      <c r="T31" s="248"/>
      <c r="U31" s="387">
        <v>604700</v>
      </c>
      <c r="V31" s="239"/>
      <c r="W31" s="243" t="s">
        <v>30</v>
      </c>
      <c r="X31" s="239" t="s">
        <v>456</v>
      </c>
    </row>
    <row r="32" spans="1:24" ht="97.5" customHeight="1">
      <c r="A32" s="241" t="s">
        <v>460</v>
      </c>
      <c r="B32" s="241" t="s">
        <v>33</v>
      </c>
      <c r="C32" s="239" t="s">
        <v>461</v>
      </c>
      <c r="D32" s="1161">
        <v>2622567</v>
      </c>
      <c r="E32" s="239"/>
      <c r="F32" s="239" t="s">
        <v>462</v>
      </c>
      <c r="G32" s="244" t="s">
        <v>449</v>
      </c>
      <c r="H32" s="381">
        <v>41012</v>
      </c>
      <c r="I32" s="239" t="s">
        <v>463</v>
      </c>
      <c r="J32" s="239" t="s">
        <v>2952</v>
      </c>
      <c r="K32" s="300">
        <v>0.3024</v>
      </c>
      <c r="L32" s="300">
        <v>0.30959999999999999</v>
      </c>
      <c r="M32" s="300">
        <v>0.22</v>
      </c>
      <c r="N32" s="314">
        <v>82800</v>
      </c>
      <c r="O32" s="314">
        <v>180000</v>
      </c>
      <c r="P32" s="241" t="s">
        <v>43</v>
      </c>
      <c r="Q32" s="239" t="s">
        <v>44</v>
      </c>
      <c r="R32" s="1087">
        <v>172000</v>
      </c>
      <c r="S32" s="347">
        <v>262800</v>
      </c>
      <c r="T32" s="248" t="s">
        <v>29</v>
      </c>
      <c r="U32" s="314">
        <v>24179</v>
      </c>
      <c r="V32" s="239"/>
      <c r="W32" s="243" t="s">
        <v>30</v>
      </c>
      <c r="X32" s="609" t="s">
        <v>459</v>
      </c>
    </row>
    <row r="33" spans="1:25" ht="30" customHeight="1">
      <c r="A33" s="241" t="s">
        <v>464</v>
      </c>
      <c r="B33" s="241" t="s">
        <v>33</v>
      </c>
      <c r="C33" s="239" t="s">
        <v>465</v>
      </c>
      <c r="D33" s="1161">
        <v>3741382</v>
      </c>
      <c r="E33" s="286"/>
      <c r="F33" s="239" t="s">
        <v>466</v>
      </c>
      <c r="G33" s="244" t="s">
        <v>449</v>
      </c>
      <c r="H33" s="401" t="s">
        <v>467</v>
      </c>
      <c r="I33" s="239" t="s">
        <v>468</v>
      </c>
      <c r="J33" s="239" t="s">
        <v>469</v>
      </c>
      <c r="K33" s="1200">
        <v>1.1200000000000001</v>
      </c>
      <c r="L33" s="1200">
        <v>0.85599999999999998</v>
      </c>
      <c r="M33" s="239">
        <v>0</v>
      </c>
      <c r="N33" s="260">
        <f>(K33*1000000)*0.55</f>
        <v>616000</v>
      </c>
      <c r="O33" s="260">
        <f>N33*(0.001*365*0.9)</f>
        <v>202356</v>
      </c>
      <c r="P33" s="385" t="s">
        <v>85</v>
      </c>
      <c r="Q33" s="239" t="s">
        <v>157</v>
      </c>
      <c r="R33" s="1088">
        <f>O33/0.112194</f>
        <v>1803625.86234558</v>
      </c>
      <c r="S33" s="239"/>
      <c r="T33" s="239"/>
      <c r="U33" s="402">
        <v>106900</v>
      </c>
      <c r="V33" s="239"/>
      <c r="W33" s="243" t="s">
        <v>30</v>
      </c>
      <c r="X33" s="609" t="s">
        <v>2496</v>
      </c>
    </row>
    <row r="34" spans="1:25" ht="37.5" customHeight="1">
      <c r="A34" s="287" t="s">
        <v>2594</v>
      </c>
      <c r="B34" s="287" t="s">
        <v>33</v>
      </c>
      <c r="C34" s="295" t="s">
        <v>2239</v>
      </c>
      <c r="D34" s="307">
        <v>13405252</v>
      </c>
      <c r="E34" s="308"/>
      <c r="F34" s="286" t="s">
        <v>2191</v>
      </c>
      <c r="G34" s="499" t="s">
        <v>314</v>
      </c>
      <c r="H34" s="308" t="s">
        <v>2273</v>
      </c>
      <c r="I34" s="312" t="s">
        <v>2274</v>
      </c>
      <c r="J34" s="308" t="s">
        <v>2235</v>
      </c>
      <c r="K34" s="308"/>
      <c r="L34" s="296">
        <v>3.3820000000000001</v>
      </c>
      <c r="M34" s="286"/>
      <c r="N34" s="246">
        <f>L34*0.5*1000000</f>
        <v>1691000</v>
      </c>
      <c r="O34" s="260">
        <f>N34*0.001*365*0.9</f>
        <v>555493.5</v>
      </c>
      <c r="P34" s="287" t="s">
        <v>85</v>
      </c>
      <c r="Q34" s="308"/>
      <c r="R34" s="1086">
        <f>O34/0.112194</f>
        <v>4951187.2292635972</v>
      </c>
      <c r="S34" s="308"/>
      <c r="T34" s="308"/>
      <c r="U34" s="308"/>
      <c r="V34" s="308"/>
      <c r="W34" s="308"/>
      <c r="X34" s="609" t="s">
        <v>2459</v>
      </c>
    </row>
    <row r="35" spans="1:25" ht="57.75" customHeight="1">
      <c r="A35" s="241" t="s">
        <v>471</v>
      </c>
      <c r="B35" s="241" t="s">
        <v>33</v>
      </c>
      <c r="C35" s="239" t="s">
        <v>472</v>
      </c>
      <c r="D35" s="250" t="s">
        <v>473</v>
      </c>
      <c r="E35" s="239"/>
      <c r="F35" s="239" t="s">
        <v>474</v>
      </c>
      <c r="G35" s="244" t="s">
        <v>314</v>
      </c>
      <c r="H35" s="381">
        <v>39022</v>
      </c>
      <c r="I35" s="239" t="s">
        <v>475</v>
      </c>
      <c r="J35" s="239" t="s">
        <v>476</v>
      </c>
      <c r="K35" s="408">
        <f>(N35/0.55)/1000000</f>
        <v>2.0090909090909088</v>
      </c>
      <c r="L35" s="243">
        <v>2.0299999999999998</v>
      </c>
      <c r="M35" s="239"/>
      <c r="N35" s="314">
        <v>1105000</v>
      </c>
      <c r="O35" s="347">
        <v>360000</v>
      </c>
      <c r="P35" s="241" t="s">
        <v>85</v>
      </c>
      <c r="Q35" s="239" t="s">
        <v>0</v>
      </c>
      <c r="R35" s="1086">
        <f>O35/0.112194</f>
        <v>3208727.7394513073</v>
      </c>
      <c r="S35" s="248"/>
      <c r="T35" s="370"/>
      <c r="U35" s="307">
        <v>193700</v>
      </c>
      <c r="V35" s="300"/>
      <c r="W35" s="243" t="s">
        <v>30</v>
      </c>
      <c r="X35" s="239" t="s">
        <v>470</v>
      </c>
    </row>
    <row r="36" spans="1:25" ht="38.25" customHeight="1">
      <c r="A36" s="241" t="s">
        <v>477</v>
      </c>
      <c r="B36" s="241" t="s">
        <v>33</v>
      </c>
      <c r="C36" s="239" t="s">
        <v>478</v>
      </c>
      <c r="D36" s="1161">
        <v>22996089</v>
      </c>
      <c r="E36" s="239"/>
      <c r="F36" s="239" t="s">
        <v>479</v>
      </c>
      <c r="G36" s="244" t="s">
        <v>314</v>
      </c>
      <c r="H36" s="403" t="s">
        <v>480</v>
      </c>
      <c r="I36" s="239" t="s">
        <v>481</v>
      </c>
      <c r="J36" s="239" t="s">
        <v>482</v>
      </c>
      <c r="K36" s="309">
        <v>0.14000000000000001</v>
      </c>
      <c r="L36" s="309">
        <v>6.12</v>
      </c>
      <c r="M36" s="309">
        <v>1.08</v>
      </c>
      <c r="N36" s="260">
        <f>K36*0.55*1000000</f>
        <v>77000.000000000015</v>
      </c>
      <c r="O36" s="260">
        <f>N36*0.001*365*0.9</f>
        <v>25294.500000000004</v>
      </c>
      <c r="P36" s="241" t="s">
        <v>43</v>
      </c>
      <c r="Q36" s="239" t="s">
        <v>44</v>
      </c>
      <c r="R36" s="1087">
        <f>500*365</f>
        <v>182500</v>
      </c>
      <c r="S36" s="250">
        <v>200750</v>
      </c>
      <c r="T36" s="248" t="s">
        <v>483</v>
      </c>
      <c r="U36" s="307">
        <v>134000</v>
      </c>
      <c r="V36" s="243"/>
      <c r="W36" s="243" t="s">
        <v>30</v>
      </c>
      <c r="X36" s="239" t="s">
        <v>2497</v>
      </c>
    </row>
    <row r="37" spans="1:25" ht="73.5" customHeight="1">
      <c r="A37" s="241" t="s">
        <v>2173</v>
      </c>
      <c r="B37" s="241" t="s">
        <v>33</v>
      </c>
      <c r="C37" s="239" t="s">
        <v>2172</v>
      </c>
      <c r="D37" s="1161">
        <v>23862571</v>
      </c>
      <c r="E37" s="239"/>
      <c r="F37" s="239" t="s">
        <v>479</v>
      </c>
      <c r="G37" s="244" t="s">
        <v>314</v>
      </c>
      <c r="H37" s="404">
        <v>41487</v>
      </c>
      <c r="I37" s="239" t="s">
        <v>484</v>
      </c>
      <c r="J37" s="239" t="s">
        <v>485</v>
      </c>
      <c r="K37" s="359">
        <v>2.44</v>
      </c>
      <c r="L37" s="1200">
        <v>4.4249999999999998</v>
      </c>
      <c r="M37" s="1200">
        <v>2.4</v>
      </c>
      <c r="N37" s="260">
        <f>O37/(0.001*365*0.9)</f>
        <v>1341108.0669710806</v>
      </c>
      <c r="O37" s="347">
        <v>440554</v>
      </c>
      <c r="P37" s="385" t="s">
        <v>85</v>
      </c>
      <c r="Q37" s="239" t="s">
        <v>44</v>
      </c>
      <c r="R37" s="1086">
        <f>O37/0.112194</f>
        <v>3926716.2236839761</v>
      </c>
      <c r="S37" s="248"/>
      <c r="T37" s="340" t="s">
        <v>29</v>
      </c>
      <c r="U37" s="307">
        <v>439000</v>
      </c>
      <c r="V37" s="239"/>
      <c r="W37" s="243" t="s">
        <v>30</v>
      </c>
      <c r="X37" s="239" t="s">
        <v>2498</v>
      </c>
    </row>
    <row r="38" spans="1:25" ht="51" customHeight="1">
      <c r="A38" s="241" t="s">
        <v>486</v>
      </c>
      <c r="B38" s="241" t="s">
        <v>33</v>
      </c>
      <c r="C38" s="239" t="s">
        <v>487</v>
      </c>
      <c r="D38" s="1161">
        <v>56080525</v>
      </c>
      <c r="E38" s="316"/>
      <c r="F38" s="316" t="s">
        <v>479</v>
      </c>
      <c r="G38" s="323" t="s">
        <v>314</v>
      </c>
      <c r="H38" s="406" t="s">
        <v>488</v>
      </c>
      <c r="I38" s="239" t="s">
        <v>489</v>
      </c>
      <c r="J38" s="239" t="s">
        <v>490</v>
      </c>
      <c r="K38" s="1200">
        <v>6.57</v>
      </c>
      <c r="L38" s="1200">
        <v>11.718</v>
      </c>
      <c r="M38" s="1200">
        <v>5.14</v>
      </c>
      <c r="N38" s="260">
        <f>O38/(0.001*365*0.9)</f>
        <v>3500000</v>
      </c>
      <c r="O38" s="314">
        <f>3500*365*0.9</f>
        <v>1149750</v>
      </c>
      <c r="P38" s="1069" t="s">
        <v>85</v>
      </c>
      <c r="Q38" s="247" t="s">
        <v>0</v>
      </c>
      <c r="R38" s="1085">
        <f>O38/0.112194</f>
        <v>10247874.217872614</v>
      </c>
      <c r="S38" s="247"/>
      <c r="T38" s="316" t="s">
        <v>29</v>
      </c>
      <c r="U38" s="307">
        <v>706200</v>
      </c>
      <c r="V38" s="407"/>
      <c r="W38" s="243" t="s">
        <v>30</v>
      </c>
      <c r="X38" s="239" t="s">
        <v>2499</v>
      </c>
      <c r="Y38" s="233"/>
    </row>
    <row r="39" spans="1:25" ht="81.599999999999994" customHeight="1">
      <c r="A39" s="241" t="s">
        <v>492</v>
      </c>
      <c r="B39" s="241" t="s">
        <v>33</v>
      </c>
      <c r="C39" s="239" t="s">
        <v>493</v>
      </c>
      <c r="D39" s="1161">
        <v>13574734</v>
      </c>
      <c r="E39" s="300">
        <v>1400</v>
      </c>
      <c r="F39" s="239" t="s">
        <v>494</v>
      </c>
      <c r="G39" s="244" t="s">
        <v>314</v>
      </c>
      <c r="H39" s="381">
        <v>36161</v>
      </c>
      <c r="I39" s="239" t="s">
        <v>495</v>
      </c>
      <c r="J39" s="300" t="s">
        <v>496</v>
      </c>
      <c r="K39" s="408">
        <f>(N39/0.55)/1000000</f>
        <v>2.3636363636363633</v>
      </c>
      <c r="L39" s="1200">
        <v>2.024</v>
      </c>
      <c r="M39" s="239"/>
      <c r="N39" s="314">
        <v>1300000</v>
      </c>
      <c r="O39" s="261">
        <f>R39*0.112194</f>
        <v>466880.18481000001</v>
      </c>
      <c r="P39" s="241" t="s">
        <v>85</v>
      </c>
      <c r="Q39" s="239" t="s">
        <v>0</v>
      </c>
      <c r="R39" s="1087">
        <v>4161365</v>
      </c>
      <c r="S39" s="347">
        <v>6402100</v>
      </c>
      <c r="T39" s="340" t="s">
        <v>29</v>
      </c>
      <c r="U39" s="307">
        <v>167000</v>
      </c>
      <c r="V39" s="239"/>
      <c r="W39" s="243" t="s">
        <v>30</v>
      </c>
      <c r="X39" s="609" t="s">
        <v>2500</v>
      </c>
      <c r="Y39" s="233"/>
    </row>
    <row r="40" spans="1:25" ht="81.599999999999994" customHeight="1">
      <c r="A40" s="241" t="s">
        <v>2658</v>
      </c>
      <c r="B40" s="241" t="s">
        <v>33</v>
      </c>
      <c r="C40" s="239" t="s">
        <v>2660</v>
      </c>
      <c r="D40" s="510"/>
      <c r="E40" s="286"/>
      <c r="F40" s="239" t="s">
        <v>2662</v>
      </c>
      <c r="G40" s="244" t="s">
        <v>357</v>
      </c>
      <c r="H40" s="729">
        <v>45147</v>
      </c>
      <c r="I40" s="699" t="s">
        <v>2661</v>
      </c>
      <c r="J40" s="710" t="s">
        <v>2663</v>
      </c>
      <c r="K40" s="565"/>
      <c r="L40" s="551"/>
      <c r="M40" s="286"/>
      <c r="N40" s="858">
        <v>2160000</v>
      </c>
      <c r="O40" s="728">
        <v>375000</v>
      </c>
      <c r="P40" s="716" t="s">
        <v>85</v>
      </c>
      <c r="Q40" s="239"/>
      <c r="R40" s="1089"/>
      <c r="S40" s="661"/>
      <c r="T40" s="340"/>
      <c r="U40" s="510"/>
      <c r="V40" s="239"/>
      <c r="W40" s="286"/>
      <c r="X40" s="1142" t="s">
        <v>2659</v>
      </c>
      <c r="Y40" s="233"/>
    </row>
    <row r="41" spans="1:25" ht="58.5" customHeight="1">
      <c r="A41" s="287" t="s">
        <v>757</v>
      </c>
      <c r="B41" s="287" t="s">
        <v>33</v>
      </c>
      <c r="C41" s="286" t="s">
        <v>758</v>
      </c>
      <c r="D41" s="307">
        <v>22013015</v>
      </c>
      <c r="E41" s="510"/>
      <c r="F41" s="286" t="s">
        <v>759</v>
      </c>
      <c r="G41" s="376" t="s">
        <v>225</v>
      </c>
      <c r="H41" s="462">
        <v>44835</v>
      </c>
      <c r="I41" s="272" t="s">
        <v>760</v>
      </c>
      <c r="J41" s="272" t="s">
        <v>2134</v>
      </c>
      <c r="K41" s="691">
        <v>4.8</v>
      </c>
      <c r="L41" s="393">
        <v>3.694</v>
      </c>
      <c r="M41" s="393">
        <v>3.694</v>
      </c>
      <c r="N41" s="260">
        <f>O41/(365*0.001*0.9)</f>
        <v>2453068.493150685</v>
      </c>
      <c r="O41" s="321">
        <v>805833</v>
      </c>
      <c r="P41" s="558" t="s">
        <v>85</v>
      </c>
      <c r="Q41" s="459" t="s">
        <v>0</v>
      </c>
      <c r="R41" s="1090">
        <v>6300000</v>
      </c>
      <c r="S41" s="286"/>
      <c r="T41" s="286"/>
      <c r="U41" s="318">
        <v>43900</v>
      </c>
      <c r="V41" s="321"/>
      <c r="W41" s="271" t="s">
        <v>30</v>
      </c>
      <c r="X41" s="609" t="s">
        <v>2544</v>
      </c>
      <c r="Y41" s="233"/>
    </row>
    <row r="42" spans="1:25" ht="39.75" customHeight="1">
      <c r="A42" s="241" t="s">
        <v>497</v>
      </c>
      <c r="B42" s="313" t="s">
        <v>33</v>
      </c>
      <c r="C42" s="239" t="s">
        <v>498</v>
      </c>
      <c r="D42" s="1161">
        <v>6036153</v>
      </c>
      <c r="E42" s="314">
        <v>950</v>
      </c>
      <c r="F42" s="316" t="s">
        <v>2946</v>
      </c>
      <c r="G42" s="323" t="s">
        <v>499</v>
      </c>
      <c r="H42" s="316"/>
      <c r="I42" s="316" t="s">
        <v>500</v>
      </c>
      <c r="J42" s="239" t="s">
        <v>501</v>
      </c>
      <c r="K42" s="409">
        <v>2.6640000000000001</v>
      </c>
      <c r="L42" s="1200">
        <v>1.9610000000000001</v>
      </c>
      <c r="M42" s="316"/>
      <c r="N42" s="314">
        <v>1498500</v>
      </c>
      <c r="O42" s="314">
        <v>497355</v>
      </c>
      <c r="P42" s="1069" t="s">
        <v>85</v>
      </c>
      <c r="Q42" s="247" t="s">
        <v>157</v>
      </c>
      <c r="R42" s="1085">
        <f t="shared" ref="R42:R50" si="1">O42/0.112194</f>
        <v>4432991.0690411255</v>
      </c>
      <c r="S42" s="316"/>
      <c r="T42" s="316" t="s">
        <v>441</v>
      </c>
      <c r="U42" s="410">
        <v>25382</v>
      </c>
      <c r="V42" s="316"/>
      <c r="W42" s="271" t="s">
        <v>30</v>
      </c>
      <c r="X42" s="609" t="s">
        <v>2501</v>
      </c>
      <c r="Y42" s="233"/>
    </row>
    <row r="43" spans="1:25" ht="57" customHeight="1">
      <c r="A43" s="241" t="s">
        <v>502</v>
      </c>
      <c r="B43" s="241" t="s">
        <v>33</v>
      </c>
      <c r="C43" s="239" t="s">
        <v>503</v>
      </c>
      <c r="D43" s="1161">
        <v>8069019</v>
      </c>
      <c r="E43" s="300">
        <v>1150</v>
      </c>
      <c r="F43" s="239" t="s">
        <v>504</v>
      </c>
      <c r="G43" s="244" t="s">
        <v>505</v>
      </c>
      <c r="H43" s="381">
        <v>40519</v>
      </c>
      <c r="I43" s="239" t="s">
        <v>506</v>
      </c>
      <c r="J43" s="411" t="s">
        <v>507</v>
      </c>
      <c r="K43" s="243">
        <v>0.89500000000000002</v>
      </c>
      <c r="L43" s="1200">
        <v>1.0529999999999999</v>
      </c>
      <c r="M43" s="239"/>
      <c r="N43" s="260">
        <f>K43*0.55*1000000</f>
        <v>492250.00000000006</v>
      </c>
      <c r="O43" s="278">
        <f>N43*0.001*365*0.9</f>
        <v>161704.12500000003</v>
      </c>
      <c r="P43" s="242" t="s">
        <v>53</v>
      </c>
      <c r="Q43" s="300" t="s">
        <v>44</v>
      </c>
      <c r="R43" s="1086">
        <f t="shared" si="1"/>
        <v>1441290.3096422271</v>
      </c>
      <c r="S43" s="248"/>
      <c r="T43" s="248" t="s">
        <v>29</v>
      </c>
      <c r="U43" s="387">
        <v>85400</v>
      </c>
      <c r="V43" s="243"/>
      <c r="W43" s="271" t="s">
        <v>30</v>
      </c>
      <c r="X43" s="239" t="s">
        <v>2502</v>
      </c>
      <c r="Y43" s="233"/>
    </row>
    <row r="44" spans="1:25" ht="57" customHeight="1">
      <c r="A44" s="241" t="s">
        <v>2129</v>
      </c>
      <c r="B44" s="241" t="s">
        <v>33</v>
      </c>
      <c r="C44" s="393" t="s">
        <v>761</v>
      </c>
      <c r="D44" s="1161">
        <v>6006762</v>
      </c>
      <c r="E44" s="286"/>
      <c r="F44" s="239" t="s">
        <v>762</v>
      </c>
      <c r="G44" s="244" t="s">
        <v>763</v>
      </c>
      <c r="H44" s="740">
        <v>45175</v>
      </c>
      <c r="I44" s="312" t="s">
        <v>2603</v>
      </c>
      <c r="J44" s="258" t="s">
        <v>2697</v>
      </c>
      <c r="K44" s="1200">
        <v>3.96</v>
      </c>
      <c r="L44" s="1200">
        <v>2.1349999999999998</v>
      </c>
      <c r="M44" s="1200">
        <v>2.1349999999999998</v>
      </c>
      <c r="N44" s="457">
        <f>O44/(0.001*365*0.9)</f>
        <v>1522070.0152207001</v>
      </c>
      <c r="O44" s="683">
        <v>500000</v>
      </c>
      <c r="P44" s="1068" t="s">
        <v>85</v>
      </c>
      <c r="Q44" s="239" t="s">
        <v>0</v>
      </c>
      <c r="R44" s="1086">
        <f t="shared" si="1"/>
        <v>4456566.3047934826</v>
      </c>
      <c r="S44" s="248"/>
      <c r="T44" s="248"/>
      <c r="U44" s="250"/>
      <c r="V44" s="239"/>
      <c r="W44" s="239"/>
      <c r="X44" s="507" t="s">
        <v>2696</v>
      </c>
      <c r="Y44" s="233"/>
    </row>
    <row r="45" spans="1:25" ht="37.5" customHeight="1">
      <c r="A45" s="241" t="s">
        <v>2724</v>
      </c>
      <c r="B45" s="241" t="s">
        <v>33</v>
      </c>
      <c r="C45" s="295" t="s">
        <v>701</v>
      </c>
      <c r="D45" s="307">
        <v>5202699</v>
      </c>
      <c r="E45" s="308"/>
      <c r="F45" s="239" t="s">
        <v>2238</v>
      </c>
      <c r="G45" s="244" t="s">
        <v>763</v>
      </c>
      <c r="H45" s="711">
        <v>45170</v>
      </c>
      <c r="I45" s="312" t="s">
        <v>2603</v>
      </c>
      <c r="J45" s="258" t="s">
        <v>2919</v>
      </c>
      <c r="K45" s="308"/>
      <c r="L45" s="309">
        <v>1.946</v>
      </c>
      <c r="M45" s="309">
        <v>1.946</v>
      </c>
      <c r="N45" s="457">
        <f>O45/(0.001*365*0.9)</f>
        <v>1522070.0152207001</v>
      </c>
      <c r="O45" s="683">
        <v>500000</v>
      </c>
      <c r="P45" s="1070" t="s">
        <v>85</v>
      </c>
      <c r="Q45" s="316"/>
      <c r="R45" s="1091"/>
      <c r="S45" s="316"/>
      <c r="T45" s="316"/>
      <c r="U45" s="316"/>
      <c r="V45" s="316"/>
      <c r="W45" s="316"/>
      <c r="X45" s="239" t="s">
        <v>2602</v>
      </c>
      <c r="Y45" s="233"/>
    </row>
    <row r="46" spans="1:25" ht="57" customHeight="1">
      <c r="A46" s="241" t="s">
        <v>2184</v>
      </c>
      <c r="B46" s="313" t="s">
        <v>33</v>
      </c>
      <c r="C46" s="363" t="s">
        <v>2185</v>
      </c>
      <c r="D46" s="1161">
        <v>7790728</v>
      </c>
      <c r="E46" s="363">
        <v>1900</v>
      </c>
      <c r="F46" s="363" t="s">
        <v>508</v>
      </c>
      <c r="G46" s="383" t="s">
        <v>180</v>
      </c>
      <c r="H46" s="386">
        <v>2018</v>
      </c>
      <c r="I46" s="363" t="s">
        <v>509</v>
      </c>
      <c r="J46" s="239" t="s">
        <v>510</v>
      </c>
      <c r="K46" s="410">
        <v>1.44</v>
      </c>
      <c r="L46" s="1200">
        <v>1.3009999999999999</v>
      </c>
      <c r="M46" s="364"/>
      <c r="N46" s="278">
        <f>O46/(365*0.001*0.9)</f>
        <v>529680.36529680365</v>
      </c>
      <c r="O46" s="311">
        <v>174000</v>
      </c>
      <c r="P46" s="1067" t="s">
        <v>85</v>
      </c>
      <c r="Q46" s="395" t="s">
        <v>157</v>
      </c>
      <c r="R46" s="1092">
        <f t="shared" si="1"/>
        <v>1550885.0740681319</v>
      </c>
      <c r="S46" s="364"/>
      <c r="T46" s="364"/>
      <c r="U46" s="387">
        <v>101000</v>
      </c>
      <c r="V46" s="315"/>
      <c r="W46" s="243" t="s">
        <v>30</v>
      </c>
      <c r="X46" s="609" t="s">
        <v>2503</v>
      </c>
      <c r="Y46" s="233"/>
    </row>
    <row r="47" spans="1:25" ht="61.35" customHeight="1">
      <c r="A47" s="241" t="s">
        <v>511</v>
      </c>
      <c r="B47" s="241" t="s">
        <v>33</v>
      </c>
      <c r="C47" s="239" t="s">
        <v>512</v>
      </c>
      <c r="D47" s="412">
        <v>5224710</v>
      </c>
      <c r="E47" s="239"/>
      <c r="F47" s="239" t="s">
        <v>513</v>
      </c>
      <c r="G47" s="244" t="s">
        <v>180</v>
      </c>
      <c r="H47" s="381"/>
      <c r="I47" s="239" t="s">
        <v>514</v>
      </c>
      <c r="J47" s="413" t="s">
        <v>515</v>
      </c>
      <c r="K47" s="243">
        <v>0.92</v>
      </c>
      <c r="L47" s="1200">
        <v>0.81699999999999995</v>
      </c>
      <c r="M47" s="239"/>
      <c r="N47" s="278">
        <f>K47*1000000*0.55</f>
        <v>506000.00000000006</v>
      </c>
      <c r="O47" s="278">
        <f>N47*(0.001*365*0.9)</f>
        <v>166221.00000000003</v>
      </c>
      <c r="P47" s="241" t="s">
        <v>85</v>
      </c>
      <c r="Q47" s="239" t="s">
        <v>157</v>
      </c>
      <c r="R47" s="1093">
        <f t="shared" si="1"/>
        <v>1481549.8154981553</v>
      </c>
      <c r="S47" s="248"/>
      <c r="T47" s="248" t="s">
        <v>29</v>
      </c>
      <c r="U47" s="387">
        <v>87800</v>
      </c>
      <c r="V47" s="239"/>
      <c r="W47" s="243" t="s">
        <v>30</v>
      </c>
      <c r="X47" s="609" t="s">
        <v>2505</v>
      </c>
      <c r="Y47" s="233"/>
    </row>
    <row r="48" spans="1:25" ht="42.75" customHeight="1">
      <c r="A48" s="241" t="s">
        <v>516</v>
      </c>
      <c r="B48" s="241" t="s">
        <v>33</v>
      </c>
      <c r="C48" s="239" t="s">
        <v>517</v>
      </c>
      <c r="D48" s="307">
        <v>3914719</v>
      </c>
      <c r="E48" s="239" t="s">
        <v>518</v>
      </c>
      <c r="F48" s="316" t="s">
        <v>519</v>
      </c>
      <c r="G48" s="323" t="s">
        <v>180</v>
      </c>
      <c r="H48" s="535" t="s">
        <v>520</v>
      </c>
      <c r="I48" s="239" t="s">
        <v>521</v>
      </c>
      <c r="J48" s="239" t="s">
        <v>522</v>
      </c>
      <c r="K48" s="852">
        <v>1.1200000000000001</v>
      </c>
      <c r="L48" s="414">
        <v>1.117</v>
      </c>
      <c r="M48" s="316">
        <v>0</v>
      </c>
      <c r="N48" s="260">
        <f>K48*0.55*1000000</f>
        <v>616000.00000000012</v>
      </c>
      <c r="O48" s="260">
        <f>N48*(0.001*0.9*365)</f>
        <v>202356.00000000006</v>
      </c>
      <c r="P48" s="241" t="s">
        <v>53</v>
      </c>
      <c r="Q48" s="247" t="s">
        <v>0</v>
      </c>
      <c r="R48" s="1086">
        <f t="shared" si="1"/>
        <v>1803625.8623455805</v>
      </c>
      <c r="S48" s="314" t="s">
        <v>71</v>
      </c>
      <c r="T48" s="314" t="s">
        <v>71</v>
      </c>
      <c r="U48" s="387">
        <v>200610</v>
      </c>
      <c r="V48" s="415"/>
      <c r="W48" s="243" t="s">
        <v>30</v>
      </c>
      <c r="X48" s="239" t="s">
        <v>2504</v>
      </c>
      <c r="Y48" s="233"/>
    </row>
    <row r="49" spans="1:25" ht="56.25">
      <c r="A49" s="265" t="s">
        <v>771</v>
      </c>
      <c r="B49" s="287" t="s">
        <v>33</v>
      </c>
      <c r="C49" s="266" t="s">
        <v>772</v>
      </c>
      <c r="D49" s="1161">
        <v>7789015</v>
      </c>
      <c r="E49" s="286"/>
      <c r="F49" s="551" t="s">
        <v>773</v>
      </c>
      <c r="G49" s="1048" t="s">
        <v>528</v>
      </c>
      <c r="H49" s="464" t="s">
        <v>1440</v>
      </c>
      <c r="I49" s="266" t="s">
        <v>775</v>
      </c>
      <c r="J49" s="266" t="s">
        <v>776</v>
      </c>
      <c r="K49" s="271">
        <v>2.16</v>
      </c>
      <c r="L49" s="859">
        <v>2.16</v>
      </c>
      <c r="M49" s="271">
        <v>0</v>
      </c>
      <c r="N49" s="261">
        <f>K49*1000000*0.55</f>
        <v>1188000</v>
      </c>
      <c r="O49" s="391">
        <v>500000</v>
      </c>
      <c r="P49" s="287" t="s">
        <v>85</v>
      </c>
      <c r="Q49" s="286" t="s">
        <v>0</v>
      </c>
      <c r="R49" s="1083">
        <f>500000/0.112194</f>
        <v>4456566.3047934826</v>
      </c>
      <c r="S49" s="263"/>
      <c r="T49" s="342"/>
      <c r="U49" s="262"/>
      <c r="V49" s="262"/>
      <c r="W49" s="262"/>
      <c r="X49" s="609" t="s">
        <v>770</v>
      </c>
      <c r="Y49" s="233"/>
    </row>
    <row r="50" spans="1:25" ht="55.7" customHeight="1">
      <c r="A50" s="241" t="s">
        <v>524</v>
      </c>
      <c r="B50" s="241" t="s">
        <v>33</v>
      </c>
      <c r="C50" s="239" t="s">
        <v>525</v>
      </c>
      <c r="D50" s="307">
        <v>135450945</v>
      </c>
      <c r="E50" s="239" t="s">
        <v>526</v>
      </c>
      <c r="F50" s="239" t="s">
        <v>527</v>
      </c>
      <c r="G50" s="244" t="s">
        <v>528</v>
      </c>
      <c r="H50" s="403">
        <v>1982</v>
      </c>
      <c r="I50" s="239" t="s">
        <v>529</v>
      </c>
      <c r="J50" s="239" t="s">
        <v>530</v>
      </c>
      <c r="K50" s="314">
        <v>3</v>
      </c>
      <c r="L50" s="1200">
        <v>3.1819999999999999</v>
      </c>
      <c r="M50" s="1200">
        <v>9.5000000000000001E-2</v>
      </c>
      <c r="N50" s="314">
        <v>1500000</v>
      </c>
      <c r="O50" s="347">
        <v>474119</v>
      </c>
      <c r="P50" s="241" t="s">
        <v>85</v>
      </c>
      <c r="Q50" s="247" t="s">
        <v>0</v>
      </c>
      <c r="R50" s="1086">
        <f t="shared" si="1"/>
        <v>4225885.5197247621</v>
      </c>
      <c r="S50" s="248"/>
      <c r="T50" s="340" t="s">
        <v>29</v>
      </c>
      <c r="U50" s="314">
        <v>288560</v>
      </c>
      <c r="V50" s="239"/>
      <c r="W50" s="239" t="s">
        <v>30</v>
      </c>
      <c r="X50" s="239" t="s">
        <v>523</v>
      </c>
      <c r="Y50" s="233"/>
    </row>
    <row r="51" spans="1:25" ht="54" customHeight="1">
      <c r="A51" s="241" t="s">
        <v>2187</v>
      </c>
      <c r="B51" s="241" t="s">
        <v>33</v>
      </c>
      <c r="C51" s="239" t="s">
        <v>531</v>
      </c>
      <c r="D51" s="1161">
        <v>47161988</v>
      </c>
      <c r="E51" s="239"/>
      <c r="F51" s="239" t="s">
        <v>532</v>
      </c>
      <c r="G51" s="244" t="s">
        <v>528</v>
      </c>
      <c r="H51" s="381">
        <v>41701</v>
      </c>
      <c r="I51" s="239" t="s">
        <v>2186</v>
      </c>
      <c r="J51" s="413" t="s">
        <v>533</v>
      </c>
      <c r="K51" s="416">
        <f>(3000*60*24)/1000000</f>
        <v>4.32</v>
      </c>
      <c r="L51" s="1200">
        <v>18.451000000000001</v>
      </c>
      <c r="M51" s="239"/>
      <c r="N51" s="260">
        <f>K51*0.55*1000000</f>
        <v>2376000.0000000005</v>
      </c>
      <c r="O51" s="417">
        <f>N51*0.001*365*0.9</f>
        <v>780516.00000000012</v>
      </c>
      <c r="P51" s="241" t="s">
        <v>85</v>
      </c>
      <c r="Q51" s="247" t="s">
        <v>0</v>
      </c>
      <c r="R51" s="1086">
        <f>O51/0.112194</f>
        <v>6956842.6119043808</v>
      </c>
      <c r="S51" s="418">
        <f>(((6000*24*60)*0.55)*0.001*365*0.9)/0.112194</f>
        <v>13913685.22380876</v>
      </c>
      <c r="T51" s="248" t="s">
        <v>534</v>
      </c>
      <c r="U51" s="307">
        <v>669000</v>
      </c>
      <c r="V51" s="239"/>
      <c r="W51" s="239" t="s">
        <v>30</v>
      </c>
      <c r="X51" s="239" t="s">
        <v>2506</v>
      </c>
      <c r="Y51" s="233"/>
    </row>
    <row r="52" spans="1:25" ht="55.5" customHeight="1">
      <c r="A52" s="287" t="s">
        <v>536</v>
      </c>
      <c r="B52" s="287" t="s">
        <v>33</v>
      </c>
      <c r="C52" s="239" t="s">
        <v>537</v>
      </c>
      <c r="D52" s="1161">
        <v>35259696</v>
      </c>
      <c r="E52" s="316">
        <v>920</v>
      </c>
      <c r="F52" s="316" t="s">
        <v>2947</v>
      </c>
      <c r="G52" s="323" t="s">
        <v>101</v>
      </c>
      <c r="H52" s="403">
        <v>2014</v>
      </c>
      <c r="I52" s="316" t="s">
        <v>538</v>
      </c>
      <c r="J52" s="316" t="s">
        <v>539</v>
      </c>
      <c r="K52" s="860">
        <v>4</v>
      </c>
      <c r="L52" s="1200">
        <v>4.0659999999999998</v>
      </c>
      <c r="M52" s="1200">
        <v>0.80300000000000005</v>
      </c>
      <c r="N52" s="1092">
        <v>2016000</v>
      </c>
      <c r="O52" s="278">
        <f>N52*0.001*365*0.9</f>
        <v>662256</v>
      </c>
      <c r="P52" s="348" t="s">
        <v>85</v>
      </c>
      <c r="Q52" s="247" t="s">
        <v>0</v>
      </c>
      <c r="R52" s="1086">
        <f>O52/0.112194</f>
        <v>5902775.5494946251</v>
      </c>
      <c r="S52" s="316"/>
      <c r="T52" s="316"/>
      <c r="U52" s="307">
        <v>391300</v>
      </c>
      <c r="V52" s="239"/>
      <c r="W52" s="239" t="s">
        <v>30</v>
      </c>
      <c r="X52" s="239" t="s">
        <v>535</v>
      </c>
      <c r="Y52" s="233"/>
    </row>
    <row r="53" spans="1:25" ht="60" customHeight="1">
      <c r="A53" s="287" t="s">
        <v>540</v>
      </c>
      <c r="B53" s="419" t="s">
        <v>33</v>
      </c>
      <c r="C53" s="239" t="s">
        <v>541</v>
      </c>
      <c r="D53" s="1166">
        <v>22847163</v>
      </c>
      <c r="E53" s="510"/>
      <c r="F53" s="239" t="s">
        <v>444</v>
      </c>
      <c r="G53" s="244" t="s">
        <v>101</v>
      </c>
      <c r="H53" s="358" t="s">
        <v>520</v>
      </c>
      <c r="I53" s="239" t="s">
        <v>542</v>
      </c>
      <c r="J53" s="239" t="s">
        <v>2888</v>
      </c>
      <c r="K53" s="243">
        <v>2.9</v>
      </c>
      <c r="L53" s="396">
        <v>3.6320000000000001</v>
      </c>
      <c r="M53" s="239"/>
      <c r="N53" s="314">
        <v>2680000</v>
      </c>
      <c r="O53" s="347">
        <v>855290</v>
      </c>
      <c r="P53" s="242" t="s">
        <v>85</v>
      </c>
      <c r="Q53" s="247" t="s">
        <v>0</v>
      </c>
      <c r="R53" s="1087">
        <v>6842300</v>
      </c>
      <c r="S53" s="420">
        <f>(2670*365*0.9)/0.112194</f>
        <v>7817664.046205679</v>
      </c>
      <c r="T53" s="308"/>
      <c r="U53" s="307">
        <v>276800</v>
      </c>
      <c r="V53" s="239"/>
      <c r="W53" s="239" t="s">
        <v>30</v>
      </c>
      <c r="X53" s="609" t="s">
        <v>2536</v>
      </c>
      <c r="Y53" s="233"/>
    </row>
    <row r="54" spans="1:25" ht="60" customHeight="1">
      <c r="A54" s="287" t="s">
        <v>2233</v>
      </c>
      <c r="B54" s="241" t="s">
        <v>33</v>
      </c>
      <c r="C54" s="286" t="s">
        <v>701</v>
      </c>
      <c r="D54" s="85">
        <v>37695461</v>
      </c>
      <c r="E54" s="308"/>
      <c r="F54" s="286" t="s">
        <v>2237</v>
      </c>
      <c r="G54" s="499" t="s">
        <v>101</v>
      </c>
      <c r="H54" s="308"/>
      <c r="I54" s="308"/>
      <c r="J54" s="710" t="s">
        <v>2657</v>
      </c>
      <c r="K54" s="308"/>
      <c r="L54" s="286"/>
      <c r="M54" s="286"/>
      <c r="N54" s="727"/>
      <c r="O54" s="26">
        <v>2268840</v>
      </c>
      <c r="P54" s="731" t="s">
        <v>85</v>
      </c>
      <c r="Q54" s="308"/>
      <c r="R54" s="1094">
        <f>O54/0.112194</f>
        <v>20222471.789935291</v>
      </c>
      <c r="S54" s="308"/>
      <c r="T54" s="308"/>
      <c r="U54" s="308"/>
      <c r="V54" s="710"/>
      <c r="W54" s="308"/>
      <c r="X54" s="1142" t="s">
        <v>2627</v>
      </c>
      <c r="Y54" s="233"/>
    </row>
    <row r="55" spans="1:25" ht="44.25" customHeight="1">
      <c r="A55" s="241" t="s">
        <v>2183</v>
      </c>
      <c r="B55" s="241" t="s">
        <v>33</v>
      </c>
      <c r="C55" s="239" t="s">
        <v>543</v>
      </c>
      <c r="D55" s="1161">
        <v>25610176</v>
      </c>
      <c r="E55" s="239"/>
      <c r="F55" s="239" t="s">
        <v>100</v>
      </c>
      <c r="G55" s="244" t="s">
        <v>101</v>
      </c>
      <c r="H55" s="381">
        <v>41671</v>
      </c>
      <c r="I55" s="239" t="s">
        <v>806</v>
      </c>
      <c r="J55" s="239" t="s">
        <v>544</v>
      </c>
      <c r="K55" s="300">
        <v>8.64</v>
      </c>
      <c r="L55" s="1200">
        <v>7.827</v>
      </c>
      <c r="M55" s="1200">
        <v>0</v>
      </c>
      <c r="N55" s="1085">
        <f>K55*0.55*1000000</f>
        <v>4752000.0000000009</v>
      </c>
      <c r="O55" s="278">
        <f>N55*0.001*365*0.9</f>
        <v>1561032.0000000002</v>
      </c>
      <c r="P55" s="385" t="s">
        <v>53</v>
      </c>
      <c r="Q55" s="239" t="s">
        <v>108</v>
      </c>
      <c r="R55" s="1086">
        <f>O55/0.112194</f>
        <v>13913685.223808762</v>
      </c>
      <c r="S55" s="421"/>
      <c r="T55" s="248"/>
      <c r="U55" s="307">
        <v>740440</v>
      </c>
      <c r="V55" s="239"/>
      <c r="W55" s="243" t="s">
        <v>30</v>
      </c>
      <c r="X55" s="239" t="s">
        <v>2507</v>
      </c>
      <c r="Y55" s="233"/>
    </row>
    <row r="56" spans="1:25" ht="72.75" customHeight="1">
      <c r="A56" s="241" t="s">
        <v>545</v>
      </c>
      <c r="B56" s="313" t="s">
        <v>33</v>
      </c>
      <c r="C56" s="239" t="s">
        <v>2535</v>
      </c>
      <c r="D56" s="1161">
        <v>15322161</v>
      </c>
      <c r="E56" s="308"/>
      <c r="F56" s="239" t="s">
        <v>546</v>
      </c>
      <c r="G56" s="244" t="s">
        <v>101</v>
      </c>
      <c r="H56" s="422" t="s">
        <v>2460</v>
      </c>
      <c r="I56" s="272" t="s">
        <v>548</v>
      </c>
      <c r="J56" s="272" t="s">
        <v>549</v>
      </c>
      <c r="K56" s="359">
        <f>(N56/0.55)/1000000</f>
        <v>4.2847023661270223</v>
      </c>
      <c r="L56" s="1200">
        <v>1.9430000000000001</v>
      </c>
      <c r="M56" s="1200">
        <v>1.9430000000000001</v>
      </c>
      <c r="N56" s="260">
        <f>O56/(0.001*365*0.9)</f>
        <v>2356586.3013698626</v>
      </c>
      <c r="O56" s="260">
        <f>R56*0.112194</f>
        <v>774138.6</v>
      </c>
      <c r="P56" s="331" t="s">
        <v>85</v>
      </c>
      <c r="Q56" s="271" t="s">
        <v>550</v>
      </c>
      <c r="R56" s="1095">
        <v>6900000</v>
      </c>
      <c r="S56" s="248"/>
      <c r="T56" s="248"/>
      <c r="U56" s="318">
        <v>49940</v>
      </c>
      <c r="V56" s="271"/>
      <c r="W56" s="243" t="s">
        <v>30</v>
      </c>
      <c r="X56" s="239" t="s">
        <v>2461</v>
      </c>
      <c r="Y56" s="233"/>
    </row>
    <row r="57" spans="1:25" ht="51.75" customHeight="1">
      <c r="A57" s="241" t="s">
        <v>551</v>
      </c>
      <c r="B57" s="241" t="s">
        <v>33</v>
      </c>
      <c r="C57" s="239" t="s">
        <v>552</v>
      </c>
      <c r="D57" s="307">
        <v>6150000</v>
      </c>
      <c r="E57" s="300" t="s">
        <v>553</v>
      </c>
      <c r="F57" s="239" t="s">
        <v>355</v>
      </c>
      <c r="G57" s="244" t="s">
        <v>101</v>
      </c>
      <c r="H57" s="381">
        <v>37742</v>
      </c>
      <c r="I57" s="239" t="s">
        <v>554</v>
      </c>
      <c r="J57" s="239" t="s">
        <v>555</v>
      </c>
      <c r="K57" s="312">
        <f>4.5*0.3</f>
        <v>1.3499999999999999</v>
      </c>
      <c r="L57" s="239"/>
      <c r="M57" s="239"/>
      <c r="N57" s="423">
        <f>K57*0.55*1000000</f>
        <v>742499.99999999988</v>
      </c>
      <c r="O57" s="423">
        <f>N57*0.001*365*0.9</f>
        <v>243911.24999999994</v>
      </c>
      <c r="P57" s="241" t="s">
        <v>85</v>
      </c>
      <c r="Q57" s="239" t="s">
        <v>0</v>
      </c>
      <c r="R57" s="1086">
        <f>O57/0.112194</f>
        <v>2174013.3162201182</v>
      </c>
      <c r="S57" s="424"/>
      <c r="T57" s="248" t="s">
        <v>29</v>
      </c>
      <c r="U57" s="307">
        <v>127500</v>
      </c>
      <c r="V57" s="243"/>
      <c r="W57" s="243" t="s">
        <v>30</v>
      </c>
      <c r="X57" s="239" t="s">
        <v>2508</v>
      </c>
      <c r="Y57" s="233"/>
    </row>
    <row r="58" spans="1:25" ht="60.75" customHeight="1">
      <c r="A58" s="241" t="s">
        <v>557</v>
      </c>
      <c r="B58" s="241" t="s">
        <v>33</v>
      </c>
      <c r="C58" s="239" t="s">
        <v>558</v>
      </c>
      <c r="D58" s="1161">
        <v>63285314</v>
      </c>
      <c r="E58" s="239"/>
      <c r="F58" s="239" t="s">
        <v>559</v>
      </c>
      <c r="G58" s="244" t="s">
        <v>101</v>
      </c>
      <c r="H58" s="248" t="s">
        <v>560</v>
      </c>
      <c r="I58" s="239" t="s">
        <v>561</v>
      </c>
      <c r="J58" s="239" t="s">
        <v>562</v>
      </c>
      <c r="K58" s="243">
        <v>15</v>
      </c>
      <c r="L58" s="1200">
        <v>17.600000000000001</v>
      </c>
      <c r="M58" s="1200">
        <v>2.6</v>
      </c>
      <c r="N58" s="260">
        <f>O58/(0.001*365*0.9)</f>
        <v>4717677.3211567728</v>
      </c>
      <c r="O58" s="314">
        <v>1549757</v>
      </c>
      <c r="P58" s="241" t="s">
        <v>85</v>
      </c>
      <c r="Q58" s="239" t="s">
        <v>44</v>
      </c>
      <c r="R58" s="1086">
        <f>O58/0.112194</f>
        <v>13813189.653635666</v>
      </c>
      <c r="S58" s="425">
        <f>(7270*365*0.9)/0.112194</f>
        <v>21286298.732552543</v>
      </c>
      <c r="T58" s="248"/>
      <c r="U58" s="307">
        <v>1431500</v>
      </c>
      <c r="V58" s="239"/>
      <c r="W58" s="243" t="s">
        <v>30</v>
      </c>
      <c r="X58" s="609" t="s">
        <v>556</v>
      </c>
      <c r="Y58" s="233"/>
    </row>
    <row r="59" spans="1:25" ht="56.25" customHeight="1">
      <c r="A59" s="241" t="s">
        <v>564</v>
      </c>
      <c r="B59" s="241" t="s">
        <v>33</v>
      </c>
      <c r="C59" s="239" t="s">
        <v>565</v>
      </c>
      <c r="D59" s="1161">
        <v>11938043</v>
      </c>
      <c r="E59" s="300">
        <v>650</v>
      </c>
      <c r="F59" s="239" t="s">
        <v>355</v>
      </c>
      <c r="G59" s="244" t="s">
        <v>101</v>
      </c>
      <c r="H59" s="306">
        <v>37742</v>
      </c>
      <c r="I59" s="239" t="s">
        <v>554</v>
      </c>
      <c r="J59" s="239" t="s">
        <v>566</v>
      </c>
      <c r="K59" s="266">
        <f>4.5*0.7</f>
        <v>3.15</v>
      </c>
      <c r="L59" s="243">
        <v>4.2830000000000004</v>
      </c>
      <c r="M59" s="239"/>
      <c r="N59" s="260">
        <f>K59*0.55*1000000</f>
        <v>1732500.0000000002</v>
      </c>
      <c r="O59" s="261">
        <f>N59*0.001*365*0.9</f>
        <v>569126.25000000012</v>
      </c>
      <c r="P59" s="241" t="s">
        <v>85</v>
      </c>
      <c r="Q59" s="239" t="s">
        <v>0</v>
      </c>
      <c r="R59" s="1086">
        <f t="shared" ref="R59:R82" si="2">O59/0.112194</f>
        <v>5072697.7378469445</v>
      </c>
      <c r="S59" s="248"/>
      <c r="T59" s="248"/>
      <c r="U59" s="250">
        <v>138400</v>
      </c>
      <c r="V59" s="243"/>
      <c r="W59" s="239"/>
      <c r="X59" s="609" t="s">
        <v>563</v>
      </c>
      <c r="Y59" s="233"/>
    </row>
    <row r="60" spans="1:25" ht="42" customHeight="1">
      <c r="A60" s="241" t="s">
        <v>777</v>
      </c>
      <c r="B60" s="419" t="s">
        <v>33</v>
      </c>
      <c r="C60" s="239" t="s">
        <v>443</v>
      </c>
      <c r="D60" s="1161">
        <v>20993621</v>
      </c>
      <c r="E60" s="239"/>
      <c r="F60" s="239" t="s">
        <v>567</v>
      </c>
      <c r="G60" s="244" t="s">
        <v>125</v>
      </c>
      <c r="H60" s="861" t="s">
        <v>754</v>
      </c>
      <c r="I60" s="239" t="s">
        <v>410</v>
      </c>
      <c r="J60" s="862" t="s">
        <v>2140</v>
      </c>
      <c r="K60" s="426">
        <f>(3000*60*24)/1000000</f>
        <v>4.32</v>
      </c>
      <c r="L60" s="1200">
        <v>4.8209999999999997</v>
      </c>
      <c r="M60" s="1200">
        <v>4.8209999999999997</v>
      </c>
      <c r="N60" s="260">
        <f>K60*0.55*1000000</f>
        <v>2376000.0000000005</v>
      </c>
      <c r="O60" s="278">
        <f>N60*(0.001*365*0.9)</f>
        <v>780516.00000000023</v>
      </c>
      <c r="P60" s="427" t="s">
        <v>85</v>
      </c>
      <c r="Q60" s="239" t="s">
        <v>0</v>
      </c>
      <c r="R60" s="1086">
        <f>O60/0.112194</f>
        <v>6956842.6119043818</v>
      </c>
      <c r="S60" s="248" t="s">
        <v>202</v>
      </c>
      <c r="T60" s="308"/>
      <c r="U60" s="308"/>
      <c r="V60" s="271"/>
      <c r="W60" s="363" t="s">
        <v>30</v>
      </c>
      <c r="X60" s="609" t="s">
        <v>2509</v>
      </c>
      <c r="Y60" s="233"/>
    </row>
    <row r="61" spans="1:25" ht="50.25" customHeight="1">
      <c r="A61" s="241" t="s">
        <v>2177</v>
      </c>
      <c r="B61" s="241" t="s">
        <v>33</v>
      </c>
      <c r="C61" s="239" t="s">
        <v>2178</v>
      </c>
      <c r="D61" s="1161">
        <v>14120663</v>
      </c>
      <c r="E61" s="239"/>
      <c r="F61" s="239" t="s">
        <v>567</v>
      </c>
      <c r="G61" s="244" t="s">
        <v>125</v>
      </c>
      <c r="H61" s="403" t="s">
        <v>568</v>
      </c>
      <c r="I61" s="239" t="s">
        <v>569</v>
      </c>
      <c r="J61" s="239" t="s">
        <v>570</v>
      </c>
      <c r="K61" s="266">
        <f>2015*60*24/1000000</f>
        <v>2.9016000000000002</v>
      </c>
      <c r="L61" s="1200">
        <v>2.6360000000000001</v>
      </c>
      <c r="M61" s="239"/>
      <c r="N61" s="260">
        <f>K61*0.55*1000000</f>
        <v>1595880.0000000002</v>
      </c>
      <c r="O61" s="278">
        <f t="shared" ref="O61:O67" si="3">N61*0.001*365*0.9</f>
        <v>524246.58000000007</v>
      </c>
      <c r="P61" s="241" t="s">
        <v>85</v>
      </c>
      <c r="Q61" s="239" t="s">
        <v>0</v>
      </c>
      <c r="R61" s="1086">
        <f t="shared" si="2"/>
        <v>4672679.2876624428</v>
      </c>
      <c r="S61" s="248"/>
      <c r="T61" s="370"/>
      <c r="U61" s="307">
        <v>302300</v>
      </c>
      <c r="V61" s="307"/>
      <c r="W61" s="363" t="s">
        <v>30</v>
      </c>
      <c r="X61" s="609" t="s">
        <v>2510</v>
      </c>
      <c r="Y61" s="233"/>
    </row>
    <row r="62" spans="1:25" ht="48.75" customHeight="1">
      <c r="A62" s="241" t="s">
        <v>2180</v>
      </c>
      <c r="B62" s="241" t="s">
        <v>33</v>
      </c>
      <c r="C62" s="363" t="s">
        <v>2179</v>
      </c>
      <c r="D62" s="428">
        <v>18709425</v>
      </c>
      <c r="E62" s="316">
        <v>1500</v>
      </c>
      <c r="F62" s="239" t="s">
        <v>567</v>
      </c>
      <c r="G62" s="244" t="s">
        <v>125</v>
      </c>
      <c r="H62" s="249">
        <v>2018</v>
      </c>
      <c r="I62" s="363" t="s">
        <v>571</v>
      </c>
      <c r="J62" s="239" t="s">
        <v>572</v>
      </c>
      <c r="K62" s="1200">
        <v>3.77</v>
      </c>
      <c r="L62" s="1200">
        <v>5.4320000000000004</v>
      </c>
      <c r="M62" s="1200">
        <v>0.95599999999999996</v>
      </c>
      <c r="N62" s="260">
        <f>K62*0.55*1000000</f>
        <v>2073500.0000000002</v>
      </c>
      <c r="O62" s="260">
        <f t="shared" si="3"/>
        <v>681144.75000000012</v>
      </c>
      <c r="P62" s="429" t="s">
        <v>85</v>
      </c>
      <c r="Q62" s="250" t="s">
        <v>0</v>
      </c>
      <c r="R62" s="1086">
        <f t="shared" si="2"/>
        <v>6071133.4830739619</v>
      </c>
      <c r="S62" s="430">
        <f xml:space="preserve"> 624150/0.112194</f>
        <v>5563131.7182737039</v>
      </c>
      <c r="T62" s="316"/>
      <c r="U62" s="307">
        <v>348000</v>
      </c>
      <c r="V62" s="239"/>
      <c r="W62" s="363" t="s">
        <v>30</v>
      </c>
      <c r="X62" s="609" t="s">
        <v>2511</v>
      </c>
      <c r="Y62" s="233"/>
    </row>
    <row r="63" spans="1:25" ht="90.75" customHeight="1">
      <c r="A63" s="241" t="s">
        <v>574</v>
      </c>
      <c r="B63" s="313" t="s">
        <v>33</v>
      </c>
      <c r="C63" s="239" t="s">
        <v>575</v>
      </c>
      <c r="D63" s="1161">
        <v>4262210</v>
      </c>
      <c r="E63" s="316"/>
      <c r="F63" s="316" t="s">
        <v>2948</v>
      </c>
      <c r="G63" s="323" t="s">
        <v>125</v>
      </c>
      <c r="H63" s="431">
        <v>43282</v>
      </c>
      <c r="I63" s="316" t="s">
        <v>576</v>
      </c>
      <c r="J63" s="239" t="s">
        <v>577</v>
      </c>
      <c r="K63" s="1200">
        <v>0.68</v>
      </c>
      <c r="L63" s="1200">
        <v>1.6</v>
      </c>
      <c r="M63" s="1200">
        <v>0.92</v>
      </c>
      <c r="N63" s="260">
        <f>K63*1000000*0.55</f>
        <v>374000.00000000006</v>
      </c>
      <c r="O63" s="260">
        <f t="shared" si="3"/>
        <v>122859.00000000003</v>
      </c>
      <c r="P63" s="1069" t="s">
        <v>85</v>
      </c>
      <c r="Q63" s="247" t="s">
        <v>0</v>
      </c>
      <c r="R63" s="1085">
        <f>O63/0.112194</f>
        <v>1095058.5592812453</v>
      </c>
      <c r="S63" s="791"/>
      <c r="T63" s="316"/>
      <c r="U63" s="307">
        <v>65400</v>
      </c>
      <c r="V63" s="239"/>
      <c r="W63" s="239"/>
      <c r="X63" s="239" t="s">
        <v>573</v>
      </c>
      <c r="Y63" s="233"/>
    </row>
    <row r="64" spans="1:25" ht="78.75" customHeight="1">
      <c r="A64" s="241" t="s">
        <v>578</v>
      </c>
      <c r="B64" s="241" t="s">
        <v>33</v>
      </c>
      <c r="C64" s="239" t="s">
        <v>579</v>
      </c>
      <c r="D64" s="1161">
        <v>24402801</v>
      </c>
      <c r="E64" s="300">
        <v>2200</v>
      </c>
      <c r="F64" s="239" t="s">
        <v>580</v>
      </c>
      <c r="G64" s="244" t="s">
        <v>240</v>
      </c>
      <c r="H64" s="381">
        <v>39264</v>
      </c>
      <c r="I64" s="239" t="s">
        <v>581</v>
      </c>
      <c r="J64" s="239" t="s">
        <v>582</v>
      </c>
      <c r="K64" s="300">
        <v>5.04</v>
      </c>
      <c r="L64" s="243">
        <v>10.08</v>
      </c>
      <c r="M64" s="239"/>
      <c r="N64" s="260">
        <f>K64*1000000*0.55</f>
        <v>2772000</v>
      </c>
      <c r="O64" s="260">
        <f t="shared" si="3"/>
        <v>910602</v>
      </c>
      <c r="P64" s="241" t="s">
        <v>583</v>
      </c>
      <c r="Q64" s="239" t="s">
        <v>108</v>
      </c>
      <c r="R64" s="1086">
        <f t="shared" si="2"/>
        <v>8116316.3805551101</v>
      </c>
      <c r="S64" s="333"/>
      <c r="T64" s="350"/>
      <c r="U64" s="307">
        <v>808000</v>
      </c>
      <c r="V64" s="286"/>
      <c r="W64" s="243" t="s">
        <v>30</v>
      </c>
      <c r="X64" s="239" t="s">
        <v>2512</v>
      </c>
      <c r="Y64" s="233"/>
    </row>
    <row r="65" spans="1:25" ht="72.75" customHeight="1">
      <c r="A65" s="241" t="s">
        <v>779</v>
      </c>
      <c r="B65" s="241" t="s">
        <v>33</v>
      </c>
      <c r="C65" s="266" t="s">
        <v>780</v>
      </c>
      <c r="D65" s="307">
        <v>47526030</v>
      </c>
      <c r="E65" s="286"/>
      <c r="F65" s="239" t="s">
        <v>2279</v>
      </c>
      <c r="G65" s="244" t="s">
        <v>240</v>
      </c>
      <c r="H65" s="381" t="s">
        <v>781</v>
      </c>
      <c r="I65" s="266" t="s">
        <v>782</v>
      </c>
      <c r="J65" s="266" t="s">
        <v>783</v>
      </c>
      <c r="K65" s="245">
        <f>(N65/0.55)/1000000</f>
        <v>29.09090909090909</v>
      </c>
      <c r="L65" s="1200">
        <v>20.260999999999999</v>
      </c>
      <c r="M65" s="243"/>
      <c r="N65" s="321">
        <v>16000000</v>
      </c>
      <c r="O65" s="321">
        <v>4380000</v>
      </c>
      <c r="P65" s="429" t="s">
        <v>53</v>
      </c>
      <c r="Q65" s="465" t="s">
        <v>0</v>
      </c>
      <c r="R65" s="1086">
        <f>O65/0.112194</f>
        <v>39039520.829990909</v>
      </c>
      <c r="S65" s="791"/>
      <c r="T65" s="791"/>
      <c r="U65" s="321">
        <v>314000</v>
      </c>
      <c r="V65" s="266"/>
      <c r="W65" s="239"/>
      <c r="X65" s="609" t="s">
        <v>778</v>
      </c>
      <c r="Y65" s="233"/>
    </row>
    <row r="66" spans="1:25" ht="64.5" customHeight="1">
      <c r="A66" s="241" t="s">
        <v>584</v>
      </c>
      <c r="B66" s="241" t="s">
        <v>33</v>
      </c>
      <c r="C66" s="239" t="s">
        <v>2136</v>
      </c>
      <c r="D66" s="1161">
        <v>23317918</v>
      </c>
      <c r="E66" s="239"/>
      <c r="F66" s="239" t="s">
        <v>585</v>
      </c>
      <c r="G66" s="244" t="s">
        <v>240</v>
      </c>
      <c r="H66" s="381">
        <v>39326</v>
      </c>
      <c r="I66" s="239" t="s">
        <v>586</v>
      </c>
      <c r="J66" s="239" t="s">
        <v>587</v>
      </c>
      <c r="K66" s="243">
        <v>4.2</v>
      </c>
      <c r="L66" s="1200">
        <v>10.3</v>
      </c>
      <c r="M66" s="1200">
        <v>6.1</v>
      </c>
      <c r="N66" s="260">
        <f>K66*0.55*1000000</f>
        <v>2310000.0000000005</v>
      </c>
      <c r="O66" s="260">
        <f t="shared" si="3"/>
        <v>758835.00000000012</v>
      </c>
      <c r="P66" s="429" t="s">
        <v>583</v>
      </c>
      <c r="Q66" s="250" t="s">
        <v>108</v>
      </c>
      <c r="R66" s="1086">
        <f t="shared" si="2"/>
        <v>6763596.983795926</v>
      </c>
      <c r="S66" s="250"/>
      <c r="T66" s="250" t="s">
        <v>588</v>
      </c>
      <c r="U66" s="307">
        <v>403980</v>
      </c>
      <c r="V66" s="286"/>
      <c r="W66" s="243" t="s">
        <v>30</v>
      </c>
      <c r="X66" s="239" t="s">
        <v>2513</v>
      </c>
      <c r="Y66" s="233"/>
    </row>
    <row r="67" spans="1:25" ht="56.25" customHeight="1">
      <c r="A67" s="241" t="s">
        <v>589</v>
      </c>
      <c r="B67" s="241" t="s">
        <v>33</v>
      </c>
      <c r="C67" s="239" t="s">
        <v>590</v>
      </c>
      <c r="D67" s="1161">
        <v>7737813</v>
      </c>
      <c r="E67" s="300">
        <v>7</v>
      </c>
      <c r="F67" s="239" t="s">
        <v>591</v>
      </c>
      <c r="G67" s="244" t="s">
        <v>240</v>
      </c>
      <c r="H67" s="381">
        <v>38899</v>
      </c>
      <c r="I67" s="239" t="s">
        <v>592</v>
      </c>
      <c r="J67" s="239" t="s">
        <v>593</v>
      </c>
      <c r="K67" s="243">
        <v>1.4</v>
      </c>
      <c r="L67" s="243">
        <v>2.93</v>
      </c>
      <c r="M67" s="239"/>
      <c r="N67" s="260">
        <f>K67*0.55*1000000</f>
        <v>770000</v>
      </c>
      <c r="O67" s="278">
        <f t="shared" si="3"/>
        <v>252945</v>
      </c>
      <c r="P67" s="241" t="s">
        <v>85</v>
      </c>
      <c r="Q67" s="239" t="s">
        <v>0</v>
      </c>
      <c r="R67" s="1086">
        <f t="shared" si="2"/>
        <v>2254532.327931975</v>
      </c>
      <c r="S67" s="248"/>
      <c r="T67" s="248" t="s">
        <v>29</v>
      </c>
      <c r="U67" s="307">
        <v>133600</v>
      </c>
      <c r="V67" s="239"/>
      <c r="W67" s="243" t="s">
        <v>30</v>
      </c>
      <c r="X67" s="239" t="s">
        <v>2514</v>
      </c>
      <c r="Y67" s="233"/>
    </row>
    <row r="68" spans="1:25" ht="60" customHeight="1">
      <c r="A68" s="241" t="s">
        <v>594</v>
      </c>
      <c r="B68" s="241" t="s">
        <v>33</v>
      </c>
      <c r="C68" s="239" t="s">
        <v>392</v>
      </c>
      <c r="D68" s="1161">
        <v>19759441</v>
      </c>
      <c r="E68" s="239"/>
      <c r="F68" s="239" t="s">
        <v>585</v>
      </c>
      <c r="G68" s="244" t="s">
        <v>240</v>
      </c>
      <c r="H68" s="381">
        <v>38289</v>
      </c>
      <c r="I68" s="239" t="s">
        <v>595</v>
      </c>
      <c r="J68" s="239" t="s">
        <v>596</v>
      </c>
      <c r="K68" s="1200">
        <v>2.17</v>
      </c>
      <c r="L68" s="243">
        <v>3.87</v>
      </c>
      <c r="M68" s="239"/>
      <c r="N68" s="260">
        <f>O68/(365*0.001*0.9)</f>
        <v>1091336.3774733637</v>
      </c>
      <c r="O68" s="347">
        <v>358504</v>
      </c>
      <c r="P68" s="241" t="s">
        <v>85</v>
      </c>
      <c r="Q68" s="239" t="s">
        <v>0</v>
      </c>
      <c r="R68" s="1086">
        <f>O68/0.112194</f>
        <v>3195393.6930673653</v>
      </c>
      <c r="S68" s="277">
        <f>(23708*365*0.9)/0.112194</f>
        <v>69416171.987806827</v>
      </c>
      <c r="T68" s="248"/>
      <c r="U68" s="307">
        <v>200400</v>
      </c>
      <c r="V68" s="243"/>
      <c r="W68" s="243" t="s">
        <v>30</v>
      </c>
      <c r="X68" s="239" t="s">
        <v>2515</v>
      </c>
      <c r="Y68" s="233"/>
    </row>
    <row r="69" spans="1:25" ht="55.5" customHeight="1">
      <c r="A69" s="241" t="s">
        <v>597</v>
      </c>
      <c r="B69" s="241" t="s">
        <v>33</v>
      </c>
      <c r="C69" s="239" t="s">
        <v>598</v>
      </c>
      <c r="D69" s="1161">
        <v>11618297</v>
      </c>
      <c r="E69" s="300">
        <v>3000</v>
      </c>
      <c r="F69" s="239" t="s">
        <v>508</v>
      </c>
      <c r="G69" s="244" t="s">
        <v>240</v>
      </c>
      <c r="H69" s="381">
        <v>40575</v>
      </c>
      <c r="I69" s="239" t="s">
        <v>599</v>
      </c>
      <c r="J69" s="300" t="s">
        <v>2247</v>
      </c>
      <c r="K69" s="243">
        <v>1.25</v>
      </c>
      <c r="L69" s="1200">
        <v>3.2669999999999999</v>
      </c>
      <c r="M69" s="239"/>
      <c r="N69" s="260">
        <f>O69/(365*0.001*0.9)</f>
        <v>1666666.6666666665</v>
      </c>
      <c r="O69" s="347">
        <f>1500*365</f>
        <v>547500</v>
      </c>
      <c r="P69" s="241" t="s">
        <v>53</v>
      </c>
      <c r="Q69" s="300" t="s">
        <v>600</v>
      </c>
      <c r="R69" s="1086">
        <f t="shared" si="2"/>
        <v>4879940.1037488636</v>
      </c>
      <c r="S69" s="248"/>
      <c r="T69" s="248" t="s">
        <v>601</v>
      </c>
      <c r="U69" s="307">
        <v>261500</v>
      </c>
      <c r="V69" s="239"/>
      <c r="W69" s="243" t="s">
        <v>30</v>
      </c>
      <c r="X69" s="239" t="s">
        <v>2516</v>
      </c>
      <c r="Y69" s="233"/>
    </row>
    <row r="70" spans="1:25" ht="41.25" customHeight="1">
      <c r="A70" s="241" t="s">
        <v>602</v>
      </c>
      <c r="B70" s="241" t="s">
        <v>33</v>
      </c>
      <c r="C70" s="239" t="s">
        <v>603</v>
      </c>
      <c r="D70" s="307">
        <v>8487347</v>
      </c>
      <c r="E70" s="239" t="s">
        <v>526</v>
      </c>
      <c r="F70" s="239" t="s">
        <v>604</v>
      </c>
      <c r="G70" s="244" t="s">
        <v>240</v>
      </c>
      <c r="H70" s="381">
        <v>39326</v>
      </c>
      <c r="I70" s="239" t="s">
        <v>605</v>
      </c>
      <c r="J70" s="300" t="s">
        <v>606</v>
      </c>
      <c r="K70" s="243">
        <v>2.4900000000000002</v>
      </c>
      <c r="L70" s="239"/>
      <c r="M70" s="239" t="s">
        <v>29</v>
      </c>
      <c r="N70" s="260">
        <f>O70/(365*0.001*0.9)</f>
        <v>1120000</v>
      </c>
      <c r="O70" s="275">
        <f>1120*365*0.9</f>
        <v>367920</v>
      </c>
      <c r="P70" s="241" t="s">
        <v>85</v>
      </c>
      <c r="Q70" s="239" t="s">
        <v>0</v>
      </c>
      <c r="R70" s="1086">
        <f t="shared" si="2"/>
        <v>3279319.749719236</v>
      </c>
      <c r="S70" s="248"/>
      <c r="T70" s="340" t="s">
        <v>29</v>
      </c>
      <c r="U70" s="307">
        <v>118800</v>
      </c>
      <c r="V70" s="243"/>
      <c r="W70" s="243" t="s">
        <v>30</v>
      </c>
      <c r="X70" s="239" t="s">
        <v>2517</v>
      </c>
      <c r="Y70" s="233"/>
    </row>
    <row r="71" spans="1:25" ht="41.25" customHeight="1">
      <c r="A71" s="287" t="s">
        <v>2593</v>
      </c>
      <c r="B71" s="287" t="s">
        <v>33</v>
      </c>
      <c r="C71" s="286" t="s">
        <v>2592</v>
      </c>
      <c r="D71" s="307">
        <v>7191938</v>
      </c>
      <c r="E71" s="286"/>
      <c r="F71" s="286" t="s">
        <v>585</v>
      </c>
      <c r="G71" s="499" t="s">
        <v>240</v>
      </c>
      <c r="H71" s="682" t="s">
        <v>202</v>
      </c>
      <c r="I71" s="286" t="s">
        <v>2722</v>
      </c>
      <c r="J71" s="710" t="s">
        <v>2723</v>
      </c>
      <c r="K71" s="243">
        <v>1.18</v>
      </c>
      <c r="L71" s="243">
        <v>0.88900000000000001</v>
      </c>
      <c r="M71" s="286"/>
      <c r="N71" s="510"/>
      <c r="O71" s="748">
        <v>112194</v>
      </c>
      <c r="P71" s="693" t="s">
        <v>85</v>
      </c>
      <c r="Q71" s="286"/>
      <c r="R71" s="1089">
        <v>1000000</v>
      </c>
      <c r="S71" s="486"/>
      <c r="T71" s="671"/>
      <c r="U71" s="510"/>
      <c r="V71" s="710"/>
      <c r="W71" s="286"/>
      <c r="X71" s="609" t="s">
        <v>2721</v>
      </c>
      <c r="Y71" s="233"/>
    </row>
    <row r="72" spans="1:25" ht="47.25" customHeight="1">
      <c r="A72" s="241" t="s">
        <v>607</v>
      </c>
      <c r="B72" s="241" t="s">
        <v>33</v>
      </c>
      <c r="C72" s="239" t="s">
        <v>608</v>
      </c>
      <c r="D72" s="1161">
        <v>9800711</v>
      </c>
      <c r="E72" s="239"/>
      <c r="F72" s="239" t="s">
        <v>604</v>
      </c>
      <c r="G72" s="244" t="s">
        <v>240</v>
      </c>
      <c r="H72" s="381">
        <v>39326</v>
      </c>
      <c r="I72" s="239" t="s">
        <v>609</v>
      </c>
      <c r="J72" s="300" t="s">
        <v>610</v>
      </c>
      <c r="K72" s="1200">
        <v>2.34</v>
      </c>
      <c r="L72" s="1200">
        <v>2.88</v>
      </c>
      <c r="M72" s="239"/>
      <c r="N72" s="260">
        <f>O72/(365*0.001*0.9)</f>
        <v>858000</v>
      </c>
      <c r="O72" s="278">
        <f>858*365*0.9</f>
        <v>281853</v>
      </c>
      <c r="P72" s="241" t="s">
        <v>85</v>
      </c>
      <c r="Q72" s="239" t="s">
        <v>0</v>
      </c>
      <c r="R72" s="1086">
        <f t="shared" si="2"/>
        <v>2512193.1654099151</v>
      </c>
      <c r="S72" s="248"/>
      <c r="T72" s="248" t="s">
        <v>29</v>
      </c>
      <c r="U72" s="307">
        <v>111600</v>
      </c>
      <c r="V72" s="243"/>
      <c r="W72" s="243" t="s">
        <v>30</v>
      </c>
      <c r="X72" s="239" t="s">
        <v>2518</v>
      </c>
      <c r="Y72" s="233"/>
    </row>
    <row r="73" spans="1:25" ht="46.5" customHeight="1">
      <c r="A73" s="241" t="s">
        <v>611</v>
      </c>
      <c r="B73" s="313" t="s">
        <v>33</v>
      </c>
      <c r="C73" s="239" t="s">
        <v>612</v>
      </c>
      <c r="D73" s="1161">
        <v>9122502</v>
      </c>
      <c r="E73" s="239"/>
      <c r="F73" s="239" t="s">
        <v>613</v>
      </c>
      <c r="G73" s="244" t="s">
        <v>240</v>
      </c>
      <c r="H73" s="248">
        <v>2003</v>
      </c>
      <c r="I73" s="239" t="s">
        <v>595</v>
      </c>
      <c r="J73" s="266" t="s">
        <v>614</v>
      </c>
      <c r="K73" s="1200">
        <v>1.18</v>
      </c>
      <c r="L73" s="1200">
        <v>2.0259999999999998</v>
      </c>
      <c r="M73" s="1200">
        <v>0.69899999999999995</v>
      </c>
      <c r="N73" s="260">
        <f>O73/0.55</f>
        <v>374156.36363636359</v>
      </c>
      <c r="O73" s="314">
        <v>205786</v>
      </c>
      <c r="P73" s="241" t="s">
        <v>85</v>
      </c>
      <c r="Q73" s="239" t="s">
        <v>0</v>
      </c>
      <c r="R73" s="1086">
        <f t="shared" si="2"/>
        <v>1834197.9071964633</v>
      </c>
      <c r="S73" s="432">
        <f>(2370*365*0.9)/0.112194</f>
        <v>6939274.8275308842</v>
      </c>
      <c r="T73" s="248"/>
      <c r="U73" s="307">
        <v>110700</v>
      </c>
      <c r="V73" s="243"/>
      <c r="W73" s="243" t="s">
        <v>30</v>
      </c>
      <c r="X73" s="239" t="s">
        <v>2519</v>
      </c>
      <c r="Y73" s="233"/>
    </row>
    <row r="74" spans="1:25" ht="54" customHeight="1">
      <c r="A74" s="241" t="s">
        <v>615</v>
      </c>
      <c r="B74" s="313" t="s">
        <v>33</v>
      </c>
      <c r="C74" s="239" t="s">
        <v>616</v>
      </c>
      <c r="D74" s="1161">
        <v>6401503</v>
      </c>
      <c r="E74" s="316"/>
      <c r="F74" s="316" t="s">
        <v>613</v>
      </c>
      <c r="G74" s="323" t="s">
        <v>240</v>
      </c>
      <c r="H74" s="316" t="s">
        <v>423</v>
      </c>
      <c r="I74" s="239" t="s">
        <v>617</v>
      </c>
      <c r="J74" s="239" t="s">
        <v>618</v>
      </c>
      <c r="K74" s="407">
        <v>2.0099999999999998</v>
      </c>
      <c r="L74" s="1200">
        <v>2.23</v>
      </c>
      <c r="M74" s="316"/>
      <c r="N74" s="260">
        <f>K74*1000000*0.55</f>
        <v>1105500</v>
      </c>
      <c r="O74" s="260">
        <f>N74*(0.001*365*0.9)</f>
        <v>363156.75</v>
      </c>
      <c r="P74" s="429" t="s">
        <v>53</v>
      </c>
      <c r="Q74" s="250" t="s">
        <v>44</v>
      </c>
      <c r="R74" s="1086">
        <f t="shared" si="2"/>
        <v>3236864.2708166214</v>
      </c>
      <c r="S74" s="250"/>
      <c r="T74" s="250" t="s">
        <v>441</v>
      </c>
      <c r="U74" s="314">
        <v>500000</v>
      </c>
      <c r="V74" s="250"/>
      <c r="W74" s="243" t="s">
        <v>30</v>
      </c>
      <c r="X74" s="239" t="s">
        <v>2520</v>
      </c>
      <c r="Y74" s="233"/>
    </row>
    <row r="75" spans="1:25" ht="54" customHeight="1">
      <c r="A75" s="241" t="s">
        <v>788</v>
      </c>
      <c r="B75" s="241" t="s">
        <v>33</v>
      </c>
      <c r="C75" s="239" t="s">
        <v>789</v>
      </c>
      <c r="D75" s="1161">
        <v>3932084</v>
      </c>
      <c r="E75" s="316"/>
      <c r="F75" s="316" t="s">
        <v>790</v>
      </c>
      <c r="G75" s="323" t="s">
        <v>791</v>
      </c>
      <c r="H75" s="722">
        <v>45016</v>
      </c>
      <c r="I75" s="266" t="s">
        <v>792</v>
      </c>
      <c r="J75" s="243" t="s">
        <v>2649</v>
      </c>
      <c r="K75" s="316"/>
      <c r="L75" s="1200">
        <v>1.88</v>
      </c>
      <c r="M75" s="1200">
        <v>1.88</v>
      </c>
      <c r="N75" s="246">
        <f>O75/(0.001*365*0.9)</f>
        <v>1222222.2222222222</v>
      </c>
      <c r="O75" s="314">
        <f>1100*365</f>
        <v>401500</v>
      </c>
      <c r="P75" s="1071" t="s">
        <v>85</v>
      </c>
      <c r="Q75" s="343" t="s">
        <v>0</v>
      </c>
      <c r="R75" s="1086">
        <f t="shared" si="2"/>
        <v>3578622.7427491667</v>
      </c>
      <c r="S75" s="316"/>
      <c r="T75" s="316"/>
      <c r="U75" s="433"/>
      <c r="V75" s="312"/>
      <c r="W75" s="243" t="s">
        <v>30</v>
      </c>
      <c r="X75" s="609" t="s">
        <v>2650</v>
      </c>
      <c r="Y75" s="233"/>
    </row>
    <row r="76" spans="1:25" ht="99.75" customHeight="1">
      <c r="A76" s="241" t="s">
        <v>619</v>
      </c>
      <c r="B76" s="241" t="s">
        <v>33</v>
      </c>
      <c r="C76" s="239" t="s">
        <v>620</v>
      </c>
      <c r="D76" s="307">
        <v>12723765</v>
      </c>
      <c r="E76" s="239"/>
      <c r="F76" s="239" t="s">
        <v>621</v>
      </c>
      <c r="G76" s="244" t="s">
        <v>622</v>
      </c>
      <c r="H76" s="381">
        <v>39904</v>
      </c>
      <c r="I76" s="239" t="s">
        <v>623</v>
      </c>
      <c r="J76" s="239" t="s">
        <v>624</v>
      </c>
      <c r="K76" s="309">
        <v>1.728</v>
      </c>
      <c r="L76" s="1200">
        <v>2.35</v>
      </c>
      <c r="M76" s="239"/>
      <c r="N76" s="260">
        <f>K76*1000000*0.55</f>
        <v>950400.00000000012</v>
      </c>
      <c r="O76" s="260">
        <f>N76*(0.001*365*0.9)</f>
        <v>312206.40000000002</v>
      </c>
      <c r="P76" s="241" t="s">
        <v>85</v>
      </c>
      <c r="Q76" s="239" t="s">
        <v>0</v>
      </c>
      <c r="R76" s="1086">
        <f t="shared" si="2"/>
        <v>2782737.0447617522</v>
      </c>
      <c r="S76" s="248"/>
      <c r="T76" s="340"/>
      <c r="U76" s="387">
        <v>164900</v>
      </c>
      <c r="V76" s="243"/>
      <c r="W76" s="243" t="s">
        <v>30</v>
      </c>
      <c r="X76" s="239" t="s">
        <v>2521</v>
      </c>
      <c r="Y76" s="233"/>
    </row>
    <row r="77" spans="1:25" ht="59.25" customHeight="1">
      <c r="A77" s="241" t="s">
        <v>625</v>
      </c>
      <c r="B77" s="241" t="s">
        <v>33</v>
      </c>
      <c r="C77" s="239" t="s">
        <v>626</v>
      </c>
      <c r="D77" s="1161">
        <v>9912013</v>
      </c>
      <c r="E77" s="239"/>
      <c r="F77" s="239" t="s">
        <v>627</v>
      </c>
      <c r="G77" s="244" t="s">
        <v>622</v>
      </c>
      <c r="H77" s="381">
        <v>40814</v>
      </c>
      <c r="I77" s="239" t="s">
        <v>628</v>
      </c>
      <c r="J77" s="239" t="s">
        <v>629</v>
      </c>
      <c r="K77" s="1200">
        <v>1.96</v>
      </c>
      <c r="L77" s="239"/>
      <c r="M77" s="239"/>
      <c r="N77" s="260">
        <f>O77/(365*0.001*0.9)</f>
        <v>1035007.6103500761</v>
      </c>
      <c r="O77" s="275">
        <v>340000</v>
      </c>
      <c r="P77" s="241" t="s">
        <v>53</v>
      </c>
      <c r="Q77" s="239" t="s">
        <v>0</v>
      </c>
      <c r="R77" s="1086">
        <f t="shared" si="2"/>
        <v>3030465.0872595683</v>
      </c>
      <c r="S77" s="333"/>
      <c r="T77" s="248"/>
      <c r="U77" s="387">
        <v>238600</v>
      </c>
      <c r="V77" s="243"/>
      <c r="W77" s="243" t="s">
        <v>30</v>
      </c>
      <c r="X77" s="239" t="s">
        <v>2522</v>
      </c>
      <c r="Y77" s="233"/>
    </row>
    <row r="78" spans="1:25" ht="75" customHeight="1">
      <c r="A78" s="241" t="s">
        <v>2176</v>
      </c>
      <c r="B78" s="241" t="s">
        <v>33</v>
      </c>
      <c r="C78" s="239" t="s">
        <v>2172</v>
      </c>
      <c r="D78" s="1161">
        <v>15145099</v>
      </c>
      <c r="E78" s="239"/>
      <c r="F78" s="239" t="s">
        <v>633</v>
      </c>
      <c r="G78" s="244" t="s">
        <v>622</v>
      </c>
      <c r="H78" s="403" t="s">
        <v>630</v>
      </c>
      <c r="I78" s="239" t="s">
        <v>484</v>
      </c>
      <c r="J78" s="239" t="s">
        <v>631</v>
      </c>
      <c r="K78" s="1200">
        <v>2.5299999999999998</v>
      </c>
      <c r="L78" s="239"/>
      <c r="M78" s="239"/>
      <c r="N78" s="260">
        <f>K78*1000000*0.55</f>
        <v>1391500</v>
      </c>
      <c r="O78" s="278">
        <f>N78*(0.001*365*0.9)</f>
        <v>457107.75</v>
      </c>
      <c r="P78" s="241" t="s">
        <v>85</v>
      </c>
      <c r="Q78" s="239" t="s">
        <v>0</v>
      </c>
      <c r="R78" s="1086">
        <f t="shared" si="2"/>
        <v>4074261.9926199261</v>
      </c>
      <c r="S78" s="275">
        <f>4000000*1.147</f>
        <v>4588000</v>
      </c>
      <c r="T78" s="340" t="s">
        <v>29</v>
      </c>
      <c r="U78" s="250"/>
      <c r="V78" s="243"/>
      <c r="W78" s="243" t="s">
        <v>30</v>
      </c>
      <c r="X78" s="239" t="s">
        <v>2523</v>
      </c>
      <c r="Y78" s="233"/>
    </row>
    <row r="79" spans="1:25" ht="75" customHeight="1">
      <c r="A79" s="382" t="s">
        <v>2181</v>
      </c>
      <c r="B79" s="382" t="s">
        <v>33</v>
      </c>
      <c r="C79" s="300" t="s">
        <v>2182</v>
      </c>
      <c r="D79" s="402">
        <v>33221124</v>
      </c>
      <c r="E79" s="315">
        <v>1200</v>
      </c>
      <c r="F79" s="364" t="s">
        <v>633</v>
      </c>
      <c r="G79" s="383" t="s">
        <v>622</v>
      </c>
      <c r="H79" s="285" t="s">
        <v>634</v>
      </c>
      <c r="I79" s="300" t="s">
        <v>571</v>
      </c>
      <c r="J79" s="266" t="s">
        <v>635</v>
      </c>
      <c r="K79" s="300">
        <v>8.64</v>
      </c>
      <c r="L79" s="414">
        <v>5.1849999999999996</v>
      </c>
      <c r="M79" s="364"/>
      <c r="N79" s="322">
        <f>O79/(365*0.001*0.9)</f>
        <v>2776255.7077625571</v>
      </c>
      <c r="O79" s="314">
        <v>912000</v>
      </c>
      <c r="P79" s="299" t="s">
        <v>53</v>
      </c>
      <c r="Q79" s="239" t="s">
        <v>0</v>
      </c>
      <c r="R79" s="1085">
        <f t="shared" si="2"/>
        <v>8128776.9399433127</v>
      </c>
      <c r="S79" s="433"/>
      <c r="T79" s="364"/>
      <c r="U79" s="364"/>
      <c r="V79" s="300"/>
      <c r="W79" s="363"/>
      <c r="X79" s="239" t="s">
        <v>2524</v>
      </c>
      <c r="Y79" s="233"/>
    </row>
    <row r="80" spans="1:25" ht="78.75" customHeight="1">
      <c r="A80" s="241" t="s">
        <v>636</v>
      </c>
      <c r="B80" s="313" t="s">
        <v>33</v>
      </c>
      <c r="C80" s="239" t="s">
        <v>637</v>
      </c>
      <c r="D80" s="1161">
        <v>37827294</v>
      </c>
      <c r="E80" s="314">
        <v>3835</v>
      </c>
      <c r="F80" s="316" t="s">
        <v>638</v>
      </c>
      <c r="G80" s="323" t="s">
        <v>237</v>
      </c>
      <c r="H80" s="316" t="s">
        <v>639</v>
      </c>
      <c r="I80" s="239" t="s">
        <v>595</v>
      </c>
      <c r="J80" s="316" t="s">
        <v>640</v>
      </c>
      <c r="K80" s="315">
        <v>10.8</v>
      </c>
      <c r="L80" s="1200">
        <v>9.0459999999999994</v>
      </c>
      <c r="M80" s="1200">
        <v>2.96</v>
      </c>
      <c r="N80" s="260">
        <f>O80/(0.001*365*0.9)</f>
        <v>6188888.888888889</v>
      </c>
      <c r="O80" s="273">
        <f>5570*365</f>
        <v>2033050</v>
      </c>
      <c r="P80" s="434" t="s">
        <v>85</v>
      </c>
      <c r="Q80" s="239" t="s">
        <v>0</v>
      </c>
      <c r="R80" s="1093">
        <f t="shared" si="2"/>
        <v>18120844.251920778</v>
      </c>
      <c r="S80" s="347">
        <v>12054784</v>
      </c>
      <c r="T80" s="333" t="s">
        <v>29</v>
      </c>
      <c r="U80" s="333"/>
      <c r="V80" s="333"/>
      <c r="W80" s="428" t="s">
        <v>30</v>
      </c>
      <c r="X80" s="239" t="s">
        <v>2525</v>
      </c>
      <c r="Y80" s="233"/>
    </row>
    <row r="81" spans="1:54" ht="68.25" customHeight="1">
      <c r="A81" s="382" t="s">
        <v>641</v>
      </c>
      <c r="B81" s="270" t="s">
        <v>33</v>
      </c>
      <c r="C81" s="363" t="s">
        <v>642</v>
      </c>
      <c r="D81" s="1161">
        <v>22370865</v>
      </c>
      <c r="E81" s="318">
        <f>419000/310</f>
        <v>1351.6129032258063</v>
      </c>
      <c r="F81" s="363" t="s">
        <v>643</v>
      </c>
      <c r="G81" s="383" t="s">
        <v>237</v>
      </c>
      <c r="H81" s="384">
        <v>43739</v>
      </c>
      <c r="I81" s="363" t="s">
        <v>644</v>
      </c>
      <c r="J81" s="272" t="s">
        <v>645</v>
      </c>
      <c r="K81" s="435">
        <f>(N81/5.5*10)/1000000</f>
        <v>3.2272727272727271</v>
      </c>
      <c r="L81" s="1200">
        <v>2.774</v>
      </c>
      <c r="M81" s="1200">
        <v>2.774</v>
      </c>
      <c r="N81" s="260">
        <f>O81/(0.001*365*0.9)</f>
        <v>1775000</v>
      </c>
      <c r="O81" s="318">
        <f>1775*365*0.9</f>
        <v>583087.5</v>
      </c>
      <c r="P81" s="385" t="s">
        <v>85</v>
      </c>
      <c r="Q81" s="363"/>
      <c r="R81" s="1096"/>
      <c r="S81" s="260">
        <f>O81/0.112194</f>
        <v>5197136.2104925392</v>
      </c>
      <c r="T81" s="436"/>
      <c r="U81" s="437"/>
      <c r="V81" s="363"/>
      <c r="W81" s="363"/>
      <c r="X81" s="239" t="s">
        <v>2526</v>
      </c>
      <c r="Y81" s="233"/>
    </row>
    <row r="82" spans="1:54" ht="51.75" customHeight="1">
      <c r="A82" s="241" t="s">
        <v>647</v>
      </c>
      <c r="B82" s="287" t="s">
        <v>33</v>
      </c>
      <c r="C82" s="239" t="s">
        <v>648</v>
      </c>
      <c r="D82" s="1161">
        <v>12221415</v>
      </c>
      <c r="E82" s="239"/>
      <c r="F82" s="239" t="s">
        <v>649</v>
      </c>
      <c r="G82" s="244" t="s">
        <v>237</v>
      </c>
      <c r="H82" s="381">
        <v>42491</v>
      </c>
      <c r="I82" s="239" t="s">
        <v>650</v>
      </c>
      <c r="J82" s="239" t="s">
        <v>651</v>
      </c>
      <c r="K82" s="309">
        <v>2.23</v>
      </c>
      <c r="L82" s="239"/>
      <c r="M82" s="239"/>
      <c r="N82" s="260">
        <f>K82*1000000*0.55</f>
        <v>1226500</v>
      </c>
      <c r="O82" s="278">
        <f>N82*(0.001*365*0.9)</f>
        <v>402905.25</v>
      </c>
      <c r="P82" s="241" t="s">
        <v>85</v>
      </c>
      <c r="Q82" s="239" t="s">
        <v>0</v>
      </c>
      <c r="R82" s="1086">
        <f t="shared" si="2"/>
        <v>3591147.9223487885</v>
      </c>
      <c r="S82" s="248"/>
      <c r="T82" s="248" t="s">
        <v>441</v>
      </c>
      <c r="U82" s="307">
        <v>212800</v>
      </c>
      <c r="V82" s="239"/>
      <c r="W82" s="243" t="s">
        <v>30</v>
      </c>
      <c r="X82" s="239" t="s">
        <v>646</v>
      </c>
      <c r="Y82" s="233"/>
    </row>
    <row r="83" spans="1:54" ht="81.75" customHeight="1">
      <c r="A83" s="241" t="s">
        <v>652</v>
      </c>
      <c r="B83" s="241" t="s">
        <v>33</v>
      </c>
      <c r="C83" s="239" t="s">
        <v>653</v>
      </c>
      <c r="D83" s="1161">
        <v>11725348</v>
      </c>
      <c r="E83" s="300">
        <v>3000</v>
      </c>
      <c r="F83" s="239" t="s">
        <v>654</v>
      </c>
      <c r="G83" s="244" t="s">
        <v>237</v>
      </c>
      <c r="H83" s="438" t="s">
        <v>655</v>
      </c>
      <c r="I83" s="239" t="s">
        <v>656</v>
      </c>
      <c r="J83" s="239" t="s">
        <v>657</v>
      </c>
      <c r="K83" s="300">
        <v>8</v>
      </c>
      <c r="L83" s="239"/>
      <c r="M83" s="239"/>
      <c r="N83" s="314">
        <v>3700000</v>
      </c>
      <c r="O83" s="347">
        <v>753000</v>
      </c>
      <c r="P83" s="241" t="s">
        <v>85</v>
      </c>
      <c r="Q83" s="239" t="s">
        <v>0</v>
      </c>
      <c r="R83" s="1087">
        <v>11843885</v>
      </c>
      <c r="S83" s="314">
        <v>14404725</v>
      </c>
      <c r="T83" s="340" t="s">
        <v>29</v>
      </c>
      <c r="U83" s="314">
        <v>242400</v>
      </c>
      <c r="V83" s="243"/>
      <c r="W83" s="243" t="s">
        <v>30</v>
      </c>
      <c r="X83" s="239" t="s">
        <v>2527</v>
      </c>
      <c r="Y83" s="233"/>
    </row>
    <row r="84" spans="1:54" ht="52.5" customHeight="1">
      <c r="A84" s="241" t="s">
        <v>658</v>
      </c>
      <c r="B84" s="241" t="s">
        <v>33</v>
      </c>
      <c r="C84" s="272" t="s">
        <v>659</v>
      </c>
      <c r="D84" s="1161">
        <v>18203314</v>
      </c>
      <c r="E84" s="286"/>
      <c r="F84" s="239" t="s">
        <v>643</v>
      </c>
      <c r="G84" s="244" t="s">
        <v>237</v>
      </c>
      <c r="H84" s="272" t="s">
        <v>660</v>
      </c>
      <c r="I84" s="239" t="s">
        <v>661</v>
      </c>
      <c r="J84" s="272" t="s">
        <v>662</v>
      </c>
      <c r="K84" s="439">
        <v>3.6</v>
      </c>
      <c r="L84" s="393">
        <v>3.79</v>
      </c>
      <c r="M84" s="393">
        <v>0.109</v>
      </c>
      <c r="N84" s="260">
        <f>O84/(0.001*365*0.9)</f>
        <v>2063333.3333333333</v>
      </c>
      <c r="O84" s="318">
        <f>1857*365</f>
        <v>677805</v>
      </c>
      <c r="P84" s="241" t="s">
        <v>85</v>
      </c>
      <c r="Q84" s="239" t="s">
        <v>0</v>
      </c>
      <c r="R84" s="1086">
        <f t="shared" ref="R84:R93" si="4">O84/0.112194</f>
        <v>6041365.8484410932</v>
      </c>
      <c r="S84" s="333"/>
      <c r="T84" s="340"/>
      <c r="U84" s="307">
        <v>34600</v>
      </c>
      <c r="V84" s="239"/>
      <c r="W84" s="243" t="s">
        <v>30</v>
      </c>
      <c r="X84" s="239" t="s">
        <v>2528</v>
      </c>
      <c r="Y84" s="233"/>
    </row>
    <row r="85" spans="1:54" s="235" customFormat="1" ht="71.25" customHeight="1">
      <c r="A85" s="241" t="s">
        <v>831</v>
      </c>
      <c r="B85" s="313" t="s">
        <v>33</v>
      </c>
      <c r="C85" s="393" t="s">
        <v>832</v>
      </c>
      <c r="D85" s="1161">
        <v>7262368</v>
      </c>
      <c r="E85" s="286"/>
      <c r="F85" s="239" t="s">
        <v>833</v>
      </c>
      <c r="G85" s="244" t="s">
        <v>237</v>
      </c>
      <c r="H85" s="381" t="s">
        <v>754</v>
      </c>
      <c r="I85" s="239" t="s">
        <v>835</v>
      </c>
      <c r="J85" s="300" t="s">
        <v>2168</v>
      </c>
      <c r="K85" s="239"/>
      <c r="L85" s="1200">
        <v>2.6139999999999999</v>
      </c>
      <c r="M85" s="1200">
        <v>2.6139999999999999</v>
      </c>
      <c r="N85" s="314">
        <f>3000*60*24</f>
        <v>4320000</v>
      </c>
      <c r="O85" s="261">
        <f>N85*0.001*365*0.9</f>
        <v>1419120</v>
      </c>
      <c r="P85" s="299" t="s">
        <v>85</v>
      </c>
      <c r="Q85" s="239"/>
      <c r="R85" s="1086">
        <f>O85/0.112194</f>
        <v>12648804.748917054</v>
      </c>
      <c r="S85" s="248"/>
      <c r="T85" s="248"/>
      <c r="U85" s="250"/>
      <c r="V85" s="258"/>
      <c r="W85" s="239"/>
      <c r="X85" s="239" t="s">
        <v>2529</v>
      </c>
      <c r="Y85" s="233"/>
      <c r="Z85" s="233"/>
      <c r="AA85" s="233"/>
      <c r="AB85" s="233"/>
      <c r="AC85" s="233"/>
      <c r="AD85" s="233"/>
      <c r="AE85" s="233"/>
      <c r="AF85" s="233"/>
      <c r="AG85" s="233"/>
      <c r="AH85" s="233"/>
      <c r="AI85" s="233"/>
      <c r="AJ85" s="233"/>
      <c r="AK85" s="233"/>
      <c r="AL85" s="233"/>
      <c r="AM85" s="233"/>
      <c r="AN85" s="233"/>
      <c r="AO85" s="233"/>
      <c r="AP85" s="233"/>
      <c r="AQ85" s="233"/>
      <c r="AR85" s="233"/>
      <c r="AS85" s="233"/>
      <c r="AT85" s="233"/>
      <c r="AU85" s="233"/>
      <c r="AV85" s="233"/>
      <c r="AW85" s="233"/>
      <c r="AX85" s="233"/>
      <c r="AY85" s="233"/>
      <c r="AZ85" s="233"/>
      <c r="BA85" s="233"/>
      <c r="BB85" s="1147"/>
    </row>
    <row r="86" spans="1:54" ht="49.5" customHeight="1">
      <c r="A86" s="241" t="s">
        <v>663</v>
      </c>
      <c r="B86" s="241" t="s">
        <v>33</v>
      </c>
      <c r="C86" s="239" t="s">
        <v>664</v>
      </c>
      <c r="D86" s="1161">
        <v>10818393</v>
      </c>
      <c r="E86" s="250"/>
      <c r="F86" s="239" t="s">
        <v>665</v>
      </c>
      <c r="G86" s="244" t="s">
        <v>237</v>
      </c>
      <c r="H86" s="381">
        <v>39925</v>
      </c>
      <c r="I86" s="239" t="s">
        <v>450</v>
      </c>
      <c r="J86" s="239" t="s">
        <v>666</v>
      </c>
      <c r="K86" s="309">
        <v>1.64</v>
      </c>
      <c r="L86" s="239"/>
      <c r="M86" s="239"/>
      <c r="N86" s="278">
        <f>O86/(0.001*365*0.9)</f>
        <v>1012374.4292237442</v>
      </c>
      <c r="O86" s="347">
        <v>332565</v>
      </c>
      <c r="P86" s="241" t="s">
        <v>53</v>
      </c>
      <c r="Q86" s="239" t="s">
        <v>44</v>
      </c>
      <c r="R86" s="1086">
        <f t="shared" si="4"/>
        <v>2964195.9463072889</v>
      </c>
      <c r="S86" s="248"/>
      <c r="T86" s="248"/>
      <c r="U86" s="307">
        <v>156500</v>
      </c>
      <c r="V86" s="243"/>
      <c r="W86" s="243" t="s">
        <v>30</v>
      </c>
      <c r="X86" s="239" t="s">
        <v>2530</v>
      </c>
      <c r="Y86" s="233"/>
    </row>
    <row r="87" spans="1:54" ht="75" customHeight="1">
      <c r="A87" s="241" t="s">
        <v>667</v>
      </c>
      <c r="B87" s="241" t="s">
        <v>33</v>
      </c>
      <c r="C87" s="863" t="s">
        <v>2617</v>
      </c>
      <c r="D87" s="1167">
        <v>101097794</v>
      </c>
      <c r="E87" s="239"/>
      <c r="F87" s="239" t="s">
        <v>638</v>
      </c>
      <c r="G87" s="244" t="s">
        <v>237</v>
      </c>
      <c r="H87" s="705">
        <v>31472</v>
      </c>
      <c r="I87" s="239" t="s">
        <v>2618</v>
      </c>
      <c r="J87" s="239" t="s">
        <v>2620</v>
      </c>
      <c r="K87" s="706">
        <v>6.61</v>
      </c>
      <c r="L87" s="239"/>
      <c r="M87" s="239"/>
      <c r="N87" s="260">
        <f>K87*1000000*0.55</f>
        <v>3635500.0000000005</v>
      </c>
      <c r="O87" s="278">
        <f>N87*(0.001*365*0.9)</f>
        <v>1194261.7500000002</v>
      </c>
      <c r="P87" s="241" t="s">
        <v>85</v>
      </c>
      <c r="Q87" s="239" t="s">
        <v>108</v>
      </c>
      <c r="R87" s="1086">
        <f t="shared" si="4"/>
        <v>10644613.348307397</v>
      </c>
      <c r="S87" s="333"/>
      <c r="T87" s="248"/>
      <c r="U87" s="302"/>
      <c r="V87" s="864"/>
      <c r="W87" s="243"/>
      <c r="X87" s="1138" t="s">
        <v>2623</v>
      </c>
      <c r="Y87" s="233"/>
    </row>
    <row r="88" spans="1:54" ht="75" customHeight="1">
      <c r="A88" s="241" t="s">
        <v>2595</v>
      </c>
      <c r="B88" s="241" t="s">
        <v>33</v>
      </c>
      <c r="C88" s="239" t="s">
        <v>2616</v>
      </c>
      <c r="D88" s="1167">
        <v>101097794</v>
      </c>
      <c r="E88" s="239"/>
      <c r="F88" s="239" t="s">
        <v>638</v>
      </c>
      <c r="G88" s="244" t="s">
        <v>237</v>
      </c>
      <c r="H88" s="381">
        <v>44317</v>
      </c>
      <c r="I88" s="239" t="s">
        <v>489</v>
      </c>
      <c r="J88" s="239" t="s">
        <v>2619</v>
      </c>
      <c r="K88" s="706">
        <v>1.6</v>
      </c>
      <c r="L88" s="239"/>
      <c r="M88" s="239"/>
      <c r="N88" s="260">
        <f>O88/(0.001*365*0.9)</f>
        <v>3348554.0334855402</v>
      </c>
      <c r="O88" s="704">
        <v>1100000</v>
      </c>
      <c r="P88" s="241" t="s">
        <v>85</v>
      </c>
      <c r="Q88" s="239"/>
      <c r="R88" s="1086">
        <f>O88/0.112194</f>
        <v>9804445.8705456611</v>
      </c>
      <c r="S88" s="333"/>
      <c r="T88" s="248"/>
      <c r="U88" s="321">
        <v>61000</v>
      </c>
      <c r="V88" s="266"/>
      <c r="W88" s="243"/>
      <c r="X88" s="239" t="s">
        <v>2622</v>
      </c>
      <c r="Y88" s="233"/>
    </row>
    <row r="89" spans="1:54" ht="59.25" customHeight="1">
      <c r="A89" s="241" t="s">
        <v>668</v>
      </c>
      <c r="B89" s="241" t="s">
        <v>33</v>
      </c>
      <c r="C89" s="239" t="s">
        <v>669</v>
      </c>
      <c r="D89" s="387">
        <v>51736229</v>
      </c>
      <c r="E89" s="239"/>
      <c r="F89" s="239" t="s">
        <v>670</v>
      </c>
      <c r="G89" s="244" t="s">
        <v>237</v>
      </c>
      <c r="H89" s="381">
        <v>39448</v>
      </c>
      <c r="I89" s="239" t="s">
        <v>671</v>
      </c>
      <c r="J89" s="239" t="s">
        <v>672</v>
      </c>
      <c r="K89" s="309">
        <v>11.3</v>
      </c>
      <c r="L89" s="239"/>
      <c r="M89" s="239"/>
      <c r="N89" s="260">
        <f>K89*1000000*0.55</f>
        <v>6215000.0000000009</v>
      </c>
      <c r="O89" s="278">
        <f>N89*0.001*365*0.9</f>
        <v>2041627.5000000005</v>
      </c>
      <c r="P89" s="241" t="s">
        <v>85</v>
      </c>
      <c r="Q89" s="239" t="s">
        <v>0</v>
      </c>
      <c r="R89" s="1086">
        <f t="shared" si="4"/>
        <v>18197296.646879517</v>
      </c>
      <c r="S89" s="248"/>
      <c r="T89" s="248"/>
      <c r="U89" s="307">
        <v>1078400</v>
      </c>
      <c r="V89" s="243"/>
      <c r="W89" s="243" t="s">
        <v>30</v>
      </c>
      <c r="X89" s="239" t="s">
        <v>2621</v>
      </c>
      <c r="Y89" s="233"/>
    </row>
    <row r="90" spans="1:54" ht="58.5" customHeight="1">
      <c r="A90" s="241" t="s">
        <v>673</v>
      </c>
      <c r="B90" s="313" t="s">
        <v>33</v>
      </c>
      <c r="C90" s="239" t="s">
        <v>674</v>
      </c>
      <c r="D90" s="1161">
        <v>11704886</v>
      </c>
      <c r="E90" s="316"/>
      <c r="F90" s="316" t="s">
        <v>675</v>
      </c>
      <c r="G90" s="323" t="s">
        <v>237</v>
      </c>
      <c r="H90" s="316"/>
      <c r="I90" s="239" t="s">
        <v>650</v>
      </c>
      <c r="J90" s="243" t="s">
        <v>676</v>
      </c>
      <c r="K90" s="407">
        <v>6.17</v>
      </c>
      <c r="L90" s="316"/>
      <c r="M90" s="316"/>
      <c r="N90" s="278">
        <f>K90*1000000*0.55</f>
        <v>3393500.0000000005</v>
      </c>
      <c r="O90" s="278">
        <f>N90*(0.001*365*0.9)</f>
        <v>1114764.7500000002</v>
      </c>
      <c r="P90" s="440" t="s">
        <v>85</v>
      </c>
      <c r="Q90" s="333" t="s">
        <v>0</v>
      </c>
      <c r="R90" s="1093">
        <f t="shared" si="4"/>
        <v>9936046.0452430639</v>
      </c>
      <c r="S90" s="333"/>
      <c r="T90" s="333"/>
      <c r="U90" s="333">
        <v>588800</v>
      </c>
      <c r="V90" s="441"/>
      <c r="W90" s="243" t="s">
        <v>30</v>
      </c>
      <c r="X90" s="239" t="s">
        <v>2531</v>
      </c>
      <c r="Y90" s="233"/>
    </row>
    <row r="91" spans="1:54" ht="96.75" customHeight="1">
      <c r="A91" s="241" t="s">
        <v>677</v>
      </c>
      <c r="B91" s="313" t="s">
        <v>33</v>
      </c>
      <c r="C91" s="239" t="s">
        <v>650</v>
      </c>
      <c r="D91" s="1161">
        <v>12818995</v>
      </c>
      <c r="E91" s="316"/>
      <c r="F91" s="316" t="s">
        <v>2342</v>
      </c>
      <c r="G91" s="323" t="s">
        <v>237</v>
      </c>
      <c r="H91" s="316"/>
      <c r="I91" s="239" t="s">
        <v>650</v>
      </c>
      <c r="J91" s="407" t="s">
        <v>678</v>
      </c>
      <c r="K91" s="407">
        <v>2.4500000000000002</v>
      </c>
      <c r="L91" s="316"/>
      <c r="M91" s="316"/>
      <c r="N91" s="260">
        <f>K91*1000000*0.55</f>
        <v>1347500</v>
      </c>
      <c r="O91" s="278">
        <f>N91*(0.001*365*0.9)</f>
        <v>442653.75</v>
      </c>
      <c r="P91" s="241" t="s">
        <v>85</v>
      </c>
      <c r="Q91" s="333" t="s">
        <v>0</v>
      </c>
      <c r="R91" s="1093">
        <f t="shared" si="4"/>
        <v>3945431.573880956</v>
      </c>
      <c r="S91" s="333"/>
      <c r="T91" s="333"/>
      <c r="U91" s="333"/>
      <c r="V91" s="442"/>
      <c r="W91" s="243" t="s">
        <v>30</v>
      </c>
      <c r="X91" s="239" t="s">
        <v>2532</v>
      </c>
      <c r="Y91" s="233"/>
    </row>
    <row r="92" spans="1:54" ht="93.75" customHeight="1">
      <c r="A92" s="241" t="s">
        <v>2137</v>
      </c>
      <c r="B92" s="241" t="s">
        <v>33</v>
      </c>
      <c r="C92" s="239" t="s">
        <v>680</v>
      </c>
      <c r="D92" s="1161">
        <v>26760100</v>
      </c>
      <c r="E92" s="286"/>
      <c r="F92" s="239" t="s">
        <v>681</v>
      </c>
      <c r="G92" s="244" t="s">
        <v>237</v>
      </c>
      <c r="H92" s="403"/>
      <c r="I92" s="239" t="s">
        <v>680</v>
      </c>
      <c r="J92" s="272" t="s">
        <v>682</v>
      </c>
      <c r="K92" s="245">
        <f>N92/(0.55*1000000)</f>
        <v>13.352727272727273</v>
      </c>
      <c r="L92" s="245">
        <v>13.352727272727273</v>
      </c>
      <c r="M92" s="239"/>
      <c r="N92" s="443">
        <f>5100*24*60</f>
        <v>7344000</v>
      </c>
      <c r="O92" s="260">
        <f>N92*(0.001*365*0.9)</f>
        <v>2412504</v>
      </c>
      <c r="P92" s="241" t="s">
        <v>85</v>
      </c>
      <c r="Q92" s="239" t="s">
        <v>157</v>
      </c>
      <c r="R92" s="1086">
        <f t="shared" si="4"/>
        <v>21502968.073158991</v>
      </c>
      <c r="S92" s="333"/>
      <c r="T92" s="444" t="s">
        <v>683</v>
      </c>
      <c r="U92" s="250"/>
      <c r="V92" s="239"/>
      <c r="W92" s="243" t="s">
        <v>30</v>
      </c>
      <c r="X92" s="239" t="s">
        <v>679</v>
      </c>
      <c r="Y92" s="233"/>
    </row>
    <row r="93" spans="1:54" ht="78" customHeight="1">
      <c r="A93" s="241" t="s">
        <v>685</v>
      </c>
      <c r="B93" s="313" t="s">
        <v>33</v>
      </c>
      <c r="C93" s="239" t="s">
        <v>650</v>
      </c>
      <c r="D93" s="307">
        <v>23494698</v>
      </c>
      <c r="E93" s="316"/>
      <c r="F93" s="316" t="s">
        <v>654</v>
      </c>
      <c r="G93" s="323" t="s">
        <v>237</v>
      </c>
      <c r="H93" s="316"/>
      <c r="I93" s="316" t="s">
        <v>650</v>
      </c>
      <c r="J93" s="239" t="s">
        <v>686</v>
      </c>
      <c r="K93" s="266">
        <f>(8000*60*24)/1000000</f>
        <v>11.52</v>
      </c>
      <c r="L93" s="316"/>
      <c r="M93" s="316"/>
      <c r="N93" s="260">
        <f>K93*1000000*0.55</f>
        <v>6336000.0000000009</v>
      </c>
      <c r="O93" s="260">
        <f>N93*(0.001*365*0.9)</f>
        <v>2081376.0000000005</v>
      </c>
      <c r="P93" s="241" t="s">
        <v>85</v>
      </c>
      <c r="Q93" s="333" t="s">
        <v>0</v>
      </c>
      <c r="R93" s="1086">
        <f t="shared" si="4"/>
        <v>18551580.298411682</v>
      </c>
      <c r="S93" s="333"/>
      <c r="T93" s="333"/>
      <c r="U93" s="442">
        <v>935200</v>
      </c>
      <c r="V93" s="333"/>
      <c r="W93" s="243" t="s">
        <v>30</v>
      </c>
      <c r="X93" s="1138" t="s">
        <v>684</v>
      </c>
      <c r="Y93" s="233"/>
    </row>
    <row r="94" spans="1:54" ht="60.75" customHeight="1">
      <c r="A94" s="241" t="s">
        <v>688</v>
      </c>
      <c r="B94" s="241" t="s">
        <v>33</v>
      </c>
      <c r="C94" s="239" t="s">
        <v>689</v>
      </c>
      <c r="D94" s="307">
        <v>24649546</v>
      </c>
      <c r="E94" s="300">
        <v>4500</v>
      </c>
      <c r="F94" s="239" t="s">
        <v>690</v>
      </c>
      <c r="G94" s="244" t="s">
        <v>237</v>
      </c>
      <c r="H94" s="445">
        <v>43908</v>
      </c>
      <c r="I94" s="239" t="s">
        <v>691</v>
      </c>
      <c r="J94" s="239" t="s">
        <v>692</v>
      </c>
      <c r="K94" s="300">
        <v>5.8</v>
      </c>
      <c r="L94" s="239">
        <v>3.8</v>
      </c>
      <c r="M94" s="239"/>
      <c r="N94" s="314">
        <v>3400000</v>
      </c>
      <c r="O94" s="347">
        <v>636000</v>
      </c>
      <c r="P94" s="242" t="s">
        <v>85</v>
      </c>
      <c r="Q94" s="239" t="s">
        <v>0</v>
      </c>
      <c r="R94" s="1087">
        <v>10883570</v>
      </c>
      <c r="S94" s="314">
        <v>16645460</v>
      </c>
      <c r="T94" s="248" t="s">
        <v>29</v>
      </c>
      <c r="U94" s="314">
        <v>334700</v>
      </c>
      <c r="V94" s="239"/>
      <c r="W94" s="243" t="s">
        <v>30</v>
      </c>
      <c r="X94" s="239" t="s">
        <v>687</v>
      </c>
      <c r="Y94" s="233"/>
    </row>
    <row r="95" spans="1:54" ht="61.5" customHeight="1">
      <c r="A95" s="382" t="s">
        <v>694</v>
      </c>
      <c r="B95" s="398" t="s">
        <v>33</v>
      </c>
      <c r="C95" s="363" t="s">
        <v>443</v>
      </c>
      <c r="D95" s="1161">
        <v>25930783</v>
      </c>
      <c r="E95" s="364"/>
      <c r="F95" s="364" t="s">
        <v>695</v>
      </c>
      <c r="G95" s="365" t="s">
        <v>237</v>
      </c>
      <c r="H95" s="315" t="s">
        <v>696</v>
      </c>
      <c r="I95" s="363" t="s">
        <v>410</v>
      </c>
      <c r="J95" s="363" t="s">
        <v>697</v>
      </c>
      <c r="K95" s="243">
        <v>4.47</v>
      </c>
      <c r="L95" s="364"/>
      <c r="M95" s="250"/>
      <c r="N95" s="260">
        <f>K95*1000000*0.55</f>
        <v>2458500</v>
      </c>
      <c r="O95" s="260">
        <f>N95*(0.001*365*0.9)</f>
        <v>807617.25</v>
      </c>
      <c r="P95" s="242" t="s">
        <v>85</v>
      </c>
      <c r="Q95" s="300" t="s">
        <v>30</v>
      </c>
      <c r="R95" s="1086">
        <f t="shared" ref="R95:R108" si="5">O95/0.112194</f>
        <v>7198399.647039949</v>
      </c>
      <c r="S95" s="364"/>
      <c r="T95" s="364"/>
      <c r="U95" s="250"/>
      <c r="V95" s="364"/>
      <c r="W95" s="243" t="s">
        <v>30</v>
      </c>
      <c r="X95" s="1148" t="s">
        <v>693</v>
      </c>
      <c r="Y95" s="233"/>
    </row>
    <row r="96" spans="1:54" ht="61.5" customHeight="1">
      <c r="A96" s="241" t="s">
        <v>700</v>
      </c>
      <c r="B96" s="446" t="s">
        <v>33</v>
      </c>
      <c r="C96" s="239" t="s">
        <v>701</v>
      </c>
      <c r="D96" s="1161">
        <v>33483064</v>
      </c>
      <c r="E96" s="308"/>
      <c r="F96" s="239" t="s">
        <v>702</v>
      </c>
      <c r="G96" s="323" t="s">
        <v>237</v>
      </c>
      <c r="H96" s="865" t="s">
        <v>703</v>
      </c>
      <c r="I96" s="266" t="s">
        <v>704</v>
      </c>
      <c r="J96" s="266" t="s">
        <v>705</v>
      </c>
      <c r="K96" s="271">
        <v>6.59</v>
      </c>
      <c r="L96" s="1200">
        <v>6.59</v>
      </c>
      <c r="M96" s="301">
        <v>0</v>
      </c>
      <c r="N96" s="261">
        <f>K96*1000000*0.55</f>
        <v>3624500.0000000005</v>
      </c>
      <c r="O96" s="261">
        <f>N96*0.001*365*0.9</f>
        <v>1190648.2500000002</v>
      </c>
      <c r="P96" s="242" t="s">
        <v>53</v>
      </c>
      <c r="Q96" s="266" t="s">
        <v>0</v>
      </c>
      <c r="R96" s="1086">
        <f>O96/0.112194</f>
        <v>10612405.743622655</v>
      </c>
      <c r="S96" s="316"/>
      <c r="T96" s="316"/>
      <c r="U96" s="307"/>
      <c r="V96" s="316"/>
      <c r="W96" s="300"/>
      <c r="X96" s="1138" t="s">
        <v>699</v>
      </c>
      <c r="Y96" s="233"/>
    </row>
    <row r="97" spans="1:123" ht="62.25" customHeight="1">
      <c r="A97" s="241" t="s">
        <v>707</v>
      </c>
      <c r="B97" s="241" t="s">
        <v>33</v>
      </c>
      <c r="C97" s="239" t="s">
        <v>708</v>
      </c>
      <c r="D97" s="387">
        <v>11022493</v>
      </c>
      <c r="E97" s="272">
        <v>2000</v>
      </c>
      <c r="F97" s="239" t="s">
        <v>432</v>
      </c>
      <c r="G97" s="244" t="s">
        <v>237</v>
      </c>
      <c r="H97" s="381">
        <v>40998</v>
      </c>
      <c r="I97" s="239" t="s">
        <v>450</v>
      </c>
      <c r="J97" s="239" t="s">
        <v>709</v>
      </c>
      <c r="K97" s="272">
        <v>4.32</v>
      </c>
      <c r="L97" s="239"/>
      <c r="M97" s="239"/>
      <c r="N97" s="260">
        <f>K97*1000000*0.55</f>
        <v>2376000</v>
      </c>
      <c r="O97" s="278">
        <f>N97*(0.001*365*0.9)</f>
        <v>780516</v>
      </c>
      <c r="P97" s="241" t="s">
        <v>85</v>
      </c>
      <c r="Q97" s="239" t="s">
        <v>0</v>
      </c>
      <c r="R97" s="1093">
        <f t="shared" si="5"/>
        <v>6956842.6119043799</v>
      </c>
      <c r="S97" s="248"/>
      <c r="T97" s="340"/>
      <c r="U97" s="307">
        <v>116400</v>
      </c>
      <c r="V97" s="239"/>
      <c r="W97" s="243" t="s">
        <v>30</v>
      </c>
      <c r="X97" s="239" t="s">
        <v>706</v>
      </c>
      <c r="Y97" s="233"/>
    </row>
    <row r="98" spans="1:123" s="821" customFormat="1" ht="62.25" customHeight="1">
      <c r="A98" s="265" t="s">
        <v>2626</v>
      </c>
      <c r="B98" s="241" t="s">
        <v>33</v>
      </c>
      <c r="C98" s="239" t="s">
        <v>650</v>
      </c>
      <c r="D98" s="510"/>
      <c r="E98" s="316"/>
      <c r="F98" s="316" t="s">
        <v>2949</v>
      </c>
      <c r="G98" s="323" t="s">
        <v>237</v>
      </c>
      <c r="H98" s="1007">
        <v>45121</v>
      </c>
      <c r="I98" s="239" t="s">
        <v>650</v>
      </c>
      <c r="J98" s="286" t="s">
        <v>3036</v>
      </c>
      <c r="K98" s="308"/>
      <c r="L98" s="286"/>
      <c r="M98" s="286"/>
      <c r="N98" s="666"/>
      <c r="O98" s="1005">
        <v>393479</v>
      </c>
      <c r="P98" s="673" t="s">
        <v>168</v>
      </c>
      <c r="Q98" s="563"/>
      <c r="R98" s="1089"/>
      <c r="S98" s="739">
        <v>6139193</v>
      </c>
      <c r="T98" s="308"/>
      <c r="U98" s="510"/>
      <c r="V98" s="294"/>
      <c r="W98" s="286"/>
      <c r="X98" s="609" t="s">
        <v>2601</v>
      </c>
      <c r="Y98" s="303"/>
    </row>
    <row r="99" spans="1:123" s="821" customFormat="1" ht="62.25" customHeight="1">
      <c r="A99" s="1042" t="s">
        <v>3096</v>
      </c>
      <c r="B99" s="241" t="s">
        <v>33</v>
      </c>
      <c r="C99" s="1041" t="s">
        <v>3098</v>
      </c>
      <c r="D99" s="1165">
        <v>6273694</v>
      </c>
      <c r="E99" s="316"/>
      <c r="F99" s="316" t="s">
        <v>3097</v>
      </c>
      <c r="G99" s="323" t="s">
        <v>237</v>
      </c>
      <c r="H99" s="1007">
        <v>45200</v>
      </c>
      <c r="I99" s="757" t="s">
        <v>650</v>
      </c>
      <c r="J99" s="286" t="s">
        <v>3101</v>
      </c>
      <c r="K99" s="737">
        <v>1.7</v>
      </c>
      <c r="L99" s="286"/>
      <c r="M99" s="286"/>
      <c r="N99" s="825">
        <f>(K99*1000000)*0.55</f>
        <v>935000.00000000012</v>
      </c>
      <c r="O99" s="825">
        <f>N99*0.001*365*0.9</f>
        <v>307147.50000000006</v>
      </c>
      <c r="P99" s="1044" t="s">
        <v>85</v>
      </c>
      <c r="Q99" s="563"/>
      <c r="R99" s="1089"/>
      <c r="S99" s="308"/>
      <c r="T99" s="308"/>
      <c r="U99" s="510"/>
      <c r="V99" s="294"/>
      <c r="W99" s="286"/>
      <c r="X99" s="1149" t="s">
        <v>3099</v>
      </c>
      <c r="Y99" s="303"/>
    </row>
    <row r="100" spans="1:123" s="824" customFormat="1" ht="68.099999999999994" customHeight="1">
      <c r="A100" s="808" t="s">
        <v>3094</v>
      </c>
      <c r="B100" s="823" t="s">
        <v>33</v>
      </c>
      <c r="C100" s="757" t="s">
        <v>2166</v>
      </c>
      <c r="D100" s="1165">
        <v>27975091</v>
      </c>
      <c r="E100" s="757"/>
      <c r="F100" s="757" t="s">
        <v>2167</v>
      </c>
      <c r="G100" s="809" t="s">
        <v>1531</v>
      </c>
      <c r="H100" s="1043">
        <v>45170</v>
      </c>
      <c r="I100" s="757" t="s">
        <v>650</v>
      </c>
      <c r="J100" s="757" t="s">
        <v>3095</v>
      </c>
      <c r="K100" s="1205">
        <v>7.2</v>
      </c>
      <c r="L100" s="757"/>
      <c r="M100" s="757"/>
      <c r="N100" s="825">
        <f>(K100*1000000)*0.55</f>
        <v>3960000.0000000005</v>
      </c>
      <c r="O100" s="825">
        <f>N100*0.001*365*0.9</f>
        <v>1300860.0000000002</v>
      </c>
      <c r="P100" s="1044" t="s">
        <v>85</v>
      </c>
      <c r="Q100" s="757"/>
      <c r="R100" s="1097"/>
      <c r="S100" s="812"/>
      <c r="T100" s="812"/>
      <c r="U100" s="811"/>
      <c r="V100" s="757"/>
      <c r="W100" s="757"/>
      <c r="X100" s="1149" t="s">
        <v>3100</v>
      </c>
      <c r="Y100" s="233"/>
      <c r="Z100" s="233"/>
      <c r="AA100" s="233"/>
      <c r="AB100" s="233"/>
      <c r="AC100" s="233"/>
      <c r="AD100" s="233"/>
      <c r="AE100" s="233"/>
      <c r="AF100" s="233"/>
      <c r="AG100" s="233"/>
      <c r="AH100" s="233"/>
      <c r="AI100" s="233"/>
      <c r="AJ100" s="233"/>
      <c r="AK100" s="233"/>
      <c r="AL100" s="233"/>
      <c r="AM100" s="233"/>
      <c r="AN100" s="233"/>
      <c r="AO100" s="233"/>
      <c r="AP100" s="233"/>
      <c r="AQ100" s="233"/>
      <c r="AR100" s="233"/>
      <c r="AS100" s="233"/>
      <c r="AT100" s="233"/>
      <c r="AU100" s="233"/>
      <c r="AV100" s="233"/>
      <c r="AW100" s="233"/>
      <c r="AX100" s="233"/>
      <c r="AY100" s="233"/>
      <c r="AZ100" s="233"/>
      <c r="BA100" s="233"/>
      <c r="BB100" s="233"/>
      <c r="BC100" s="233"/>
      <c r="BD100" s="233"/>
      <c r="BE100" s="233"/>
      <c r="BF100" s="233"/>
      <c r="BG100" s="233"/>
      <c r="BH100" s="233"/>
      <c r="BI100" s="233"/>
      <c r="BJ100" s="233"/>
      <c r="BK100" s="233"/>
      <c r="BL100" s="233"/>
      <c r="BM100" s="233"/>
      <c r="BN100" s="233"/>
      <c r="BO100" s="233"/>
      <c r="BP100" s="233"/>
      <c r="BQ100" s="233"/>
      <c r="BR100" s="233"/>
      <c r="BS100" s="233"/>
      <c r="BT100" s="233"/>
      <c r="BU100" s="233"/>
      <c r="BV100" s="233"/>
      <c r="BW100" s="233"/>
      <c r="BX100" s="233"/>
      <c r="BY100" s="233"/>
      <c r="BZ100" s="233"/>
      <c r="CA100" s="233"/>
      <c r="CB100" s="233"/>
      <c r="CC100" s="233"/>
      <c r="CD100" s="233"/>
      <c r="CE100" s="233"/>
      <c r="CF100" s="233"/>
      <c r="CG100" s="233"/>
      <c r="CH100" s="233"/>
      <c r="CI100" s="233"/>
      <c r="CJ100" s="233"/>
      <c r="CK100" s="233"/>
      <c r="CL100" s="233"/>
      <c r="CM100" s="233"/>
      <c r="CN100" s="233"/>
      <c r="CO100" s="233"/>
      <c r="CP100" s="233"/>
      <c r="CQ100" s="233"/>
      <c r="CR100" s="233"/>
      <c r="CS100" s="233"/>
      <c r="CT100" s="233"/>
      <c r="CU100" s="233"/>
      <c r="CV100" s="233"/>
      <c r="CW100" s="233"/>
      <c r="CX100" s="233"/>
      <c r="CY100" s="233"/>
      <c r="CZ100" s="233"/>
      <c r="DA100" s="233"/>
      <c r="DB100" s="233"/>
      <c r="DC100" s="233"/>
      <c r="DD100" s="233"/>
      <c r="DE100" s="233"/>
      <c r="DF100" s="233"/>
      <c r="DG100" s="233"/>
      <c r="DH100" s="233"/>
      <c r="DI100" s="233"/>
      <c r="DJ100" s="233"/>
      <c r="DK100" s="233"/>
      <c r="DL100" s="233"/>
      <c r="DM100" s="233"/>
      <c r="DN100" s="233"/>
      <c r="DO100" s="233"/>
      <c r="DP100" s="233"/>
      <c r="DQ100" s="233"/>
      <c r="DR100" s="233"/>
      <c r="DS100" s="233"/>
    </row>
    <row r="101" spans="1:123" ht="62.25" customHeight="1">
      <c r="A101" s="265" t="s">
        <v>3031</v>
      </c>
      <c r="B101" s="241" t="s">
        <v>33</v>
      </c>
      <c r="C101" s="239" t="s">
        <v>3032</v>
      </c>
      <c r="D101" s="1168">
        <v>17627853</v>
      </c>
      <c r="E101" s="316"/>
      <c r="F101" s="316" t="s">
        <v>2474</v>
      </c>
      <c r="G101" s="323" t="s">
        <v>1531</v>
      </c>
      <c r="H101" s="1008" t="s">
        <v>3033</v>
      </c>
      <c r="I101" s="239" t="s">
        <v>3034</v>
      </c>
      <c r="J101" s="710" t="s">
        <v>3037</v>
      </c>
      <c r="K101" s="737">
        <v>1.56</v>
      </c>
      <c r="L101" s="286"/>
      <c r="M101" s="286"/>
      <c r="N101" s="260">
        <f>K101*1000000*0.55</f>
        <v>858000.00000000012</v>
      </c>
      <c r="O101" s="278">
        <f>N101*(0.001*365*0.9)</f>
        <v>281853.00000000006</v>
      </c>
      <c r="P101" s="673" t="s">
        <v>85</v>
      </c>
      <c r="Q101" s="563"/>
      <c r="R101" s="1093">
        <f t="shared" si="5"/>
        <v>2512193.1654099156</v>
      </c>
      <c r="S101" s="308"/>
      <c r="T101" s="308"/>
      <c r="U101" s="510"/>
      <c r="V101" s="1006"/>
      <c r="W101" s="286"/>
      <c r="X101" s="1149" t="s">
        <v>3035</v>
      </c>
      <c r="Y101" s="233"/>
    </row>
    <row r="102" spans="1:123" ht="86.25" customHeight="1">
      <c r="A102" s="241" t="s">
        <v>711</v>
      </c>
      <c r="B102" s="241" t="s">
        <v>33</v>
      </c>
      <c r="C102" s="239" t="s">
        <v>712</v>
      </c>
      <c r="D102" s="387">
        <v>42161783</v>
      </c>
      <c r="E102" s="239"/>
      <c r="F102" s="239" t="s">
        <v>147</v>
      </c>
      <c r="G102" s="244" t="s">
        <v>148</v>
      </c>
      <c r="H102" s="381">
        <v>40452</v>
      </c>
      <c r="I102" s="239" t="s">
        <v>713</v>
      </c>
      <c r="J102" s="239" t="s">
        <v>714</v>
      </c>
      <c r="K102" s="300">
        <v>12.2</v>
      </c>
      <c r="L102" s="239"/>
      <c r="M102" s="239"/>
      <c r="N102" s="260">
        <f>K102*0.55*1000000</f>
        <v>6710000</v>
      </c>
      <c r="O102" s="347">
        <v>1633831</v>
      </c>
      <c r="P102" s="440" t="s">
        <v>85</v>
      </c>
      <c r="Q102" s="239" t="s">
        <v>0</v>
      </c>
      <c r="R102" s="1087">
        <f t="shared" si="5"/>
        <v>14562552.364654081</v>
      </c>
      <c r="S102" s="447"/>
      <c r="T102" s="249" t="s">
        <v>715</v>
      </c>
      <c r="U102" s="307">
        <v>1145200</v>
      </c>
      <c r="V102" s="239"/>
      <c r="W102" s="243" t="s">
        <v>30</v>
      </c>
      <c r="X102" s="1138" t="s">
        <v>710</v>
      </c>
      <c r="Y102" s="233"/>
    </row>
    <row r="103" spans="1:123" ht="51" customHeight="1">
      <c r="A103" s="241" t="s">
        <v>717</v>
      </c>
      <c r="B103" s="313" t="s">
        <v>33</v>
      </c>
      <c r="C103" s="239" t="s">
        <v>718</v>
      </c>
      <c r="D103" s="307">
        <v>58222934</v>
      </c>
      <c r="E103" s="315">
        <v>6850</v>
      </c>
      <c r="F103" s="316" t="s">
        <v>2950</v>
      </c>
      <c r="G103" s="323" t="s">
        <v>148</v>
      </c>
      <c r="H103" s="448" t="s">
        <v>719</v>
      </c>
      <c r="I103" s="247" t="s">
        <v>720</v>
      </c>
      <c r="J103" s="239" t="s">
        <v>721</v>
      </c>
      <c r="K103" s="315">
        <v>11.5</v>
      </c>
      <c r="L103" s="316"/>
      <c r="M103" s="316"/>
      <c r="N103" s="314">
        <v>5750000</v>
      </c>
      <c r="O103" s="314">
        <f>5000*365</f>
        <v>1825000</v>
      </c>
      <c r="P103" s="429" t="s">
        <v>85</v>
      </c>
      <c r="Q103" s="250" t="s">
        <v>0</v>
      </c>
      <c r="R103" s="1086">
        <f t="shared" si="5"/>
        <v>16266467.012496212</v>
      </c>
      <c r="S103" s="316"/>
      <c r="T103" s="300" t="s">
        <v>722</v>
      </c>
      <c r="U103" s="307">
        <v>824500</v>
      </c>
      <c r="V103" s="239"/>
      <c r="W103" s="243" t="s">
        <v>30</v>
      </c>
      <c r="X103" s="239" t="s">
        <v>716</v>
      </c>
      <c r="Y103" s="233"/>
    </row>
    <row r="104" spans="1:123" ht="51" customHeight="1">
      <c r="A104" s="720" t="s">
        <v>2230</v>
      </c>
      <c r="B104" s="241" t="s">
        <v>33</v>
      </c>
      <c r="C104" s="286" t="s">
        <v>2232</v>
      </c>
      <c r="D104" s="1161">
        <v>11233238</v>
      </c>
      <c r="E104" s="308"/>
      <c r="F104" s="308" t="s">
        <v>2231</v>
      </c>
      <c r="G104" s="376" t="s">
        <v>155</v>
      </c>
      <c r="H104" s="721" t="s">
        <v>872</v>
      </c>
      <c r="I104" s="286" t="s">
        <v>2249</v>
      </c>
      <c r="J104" s="271" t="s">
        <v>2646</v>
      </c>
      <c r="K104" s="246">
        <f>N104/(0.5*1000)</f>
        <v>2888.8888888888891</v>
      </c>
      <c r="L104" s="243">
        <v>4.2409999999999997</v>
      </c>
      <c r="M104" s="243">
        <v>4.2409999999999997</v>
      </c>
      <c r="N104" s="246">
        <f>O104/(0.001*365*0.9)</f>
        <v>1444444.4444444445</v>
      </c>
      <c r="O104" s="467">
        <f>1300*365</f>
        <v>474500</v>
      </c>
      <c r="P104" s="1072" t="s">
        <v>85</v>
      </c>
      <c r="Q104" s="681" t="s">
        <v>2251</v>
      </c>
      <c r="R104" s="1086">
        <f t="shared" si="5"/>
        <v>4229281.4232490147</v>
      </c>
      <c r="S104" s="681"/>
      <c r="T104" s="308"/>
      <c r="U104" s="308"/>
      <c r="V104" s="451"/>
      <c r="W104" s="243" t="s">
        <v>30</v>
      </c>
      <c r="X104" s="609" t="s">
        <v>2248</v>
      </c>
      <c r="Y104" s="233"/>
    </row>
    <row r="105" spans="1:123" ht="58.5" customHeight="1">
      <c r="A105" s="241" t="s">
        <v>724</v>
      </c>
      <c r="B105" s="241" t="s">
        <v>33</v>
      </c>
      <c r="C105" s="239" t="s">
        <v>725</v>
      </c>
      <c r="D105" s="1161">
        <v>5951867</v>
      </c>
      <c r="E105" s="383"/>
      <c r="F105" s="239" t="s">
        <v>247</v>
      </c>
      <c r="G105" s="244" t="s">
        <v>155</v>
      </c>
      <c r="H105" s="345">
        <v>2019</v>
      </c>
      <c r="I105" s="285" t="s">
        <v>727</v>
      </c>
      <c r="J105" s="300" t="s">
        <v>728</v>
      </c>
      <c r="K105" s="1490">
        <v>2.2410000000000001</v>
      </c>
      <c r="L105" s="436"/>
      <c r="M105" s="436"/>
      <c r="N105" s="260">
        <f>K105*1000000*0.55</f>
        <v>1232550</v>
      </c>
      <c r="O105" s="278">
        <f>N105*0.001*365*0.9</f>
        <v>404892.67499999999</v>
      </c>
      <c r="P105" s="379" t="s">
        <v>53</v>
      </c>
      <c r="Q105" s="357" t="s">
        <v>44</v>
      </c>
      <c r="R105" s="1098">
        <f t="shared" si="5"/>
        <v>3608862.1049253969</v>
      </c>
      <c r="S105" s="449"/>
      <c r="T105" s="285" t="s">
        <v>729</v>
      </c>
      <c r="U105" s="307">
        <v>17500</v>
      </c>
      <c r="V105" s="244"/>
      <c r="W105" s="243" t="s">
        <v>30</v>
      </c>
      <c r="X105" s="609" t="s">
        <v>723</v>
      </c>
      <c r="Y105" s="233"/>
    </row>
    <row r="106" spans="1:123" ht="99" customHeight="1">
      <c r="A106" s="287" t="s">
        <v>2250</v>
      </c>
      <c r="B106" s="419" t="s">
        <v>33</v>
      </c>
      <c r="C106" s="308" t="s">
        <v>2232</v>
      </c>
      <c r="D106" s="510">
        <v>14030520</v>
      </c>
      <c r="E106" s="308"/>
      <c r="F106" s="308" t="s">
        <v>1638</v>
      </c>
      <c r="G106" s="376" t="s">
        <v>155</v>
      </c>
      <c r="H106" s="680">
        <v>43831</v>
      </c>
      <c r="I106" s="286" t="s">
        <v>2252</v>
      </c>
      <c r="J106" s="710" t="s">
        <v>2875</v>
      </c>
      <c r="K106" s="246">
        <f>N106/(0.5*1000)</f>
        <v>1387</v>
      </c>
      <c r="L106" s="1200">
        <v>4.0620000000000003</v>
      </c>
      <c r="M106" s="308"/>
      <c r="N106" s="298">
        <f>1900*365</f>
        <v>693500</v>
      </c>
      <c r="O106" s="278">
        <f>N106*(0.001*365*0.9)</f>
        <v>227814.75</v>
      </c>
      <c r="P106" s="1072" t="s">
        <v>85</v>
      </c>
      <c r="Q106" s="450" t="s">
        <v>163</v>
      </c>
      <c r="R106" s="1086">
        <f>O106/0.112194</f>
        <v>2030543.0771699022</v>
      </c>
      <c r="S106" s="681"/>
      <c r="T106" s="308"/>
      <c r="U106" s="308"/>
      <c r="V106" s="451"/>
      <c r="W106" s="376"/>
      <c r="X106" s="1142" t="s">
        <v>2248</v>
      </c>
      <c r="Y106" s="233"/>
    </row>
    <row r="107" spans="1:123" ht="99" customHeight="1">
      <c r="A107" s="287" t="s">
        <v>797</v>
      </c>
      <c r="B107" s="313" t="s">
        <v>33</v>
      </c>
      <c r="C107" s="266" t="s">
        <v>798</v>
      </c>
      <c r="D107" s="1161">
        <v>12222142</v>
      </c>
      <c r="E107" s="510"/>
      <c r="F107" s="286" t="s">
        <v>799</v>
      </c>
      <c r="G107" s="499" t="s">
        <v>155</v>
      </c>
      <c r="H107" s="867">
        <v>44986</v>
      </c>
      <c r="I107" s="286" t="s">
        <v>680</v>
      </c>
      <c r="J107" s="272" t="s">
        <v>2648</v>
      </c>
      <c r="K107" s="271">
        <v>5</v>
      </c>
      <c r="L107" s="1200">
        <v>2.73</v>
      </c>
      <c r="M107" s="1200">
        <v>0.59</v>
      </c>
      <c r="N107" s="260">
        <f>K107*0.55*1000000</f>
        <v>2750000</v>
      </c>
      <c r="O107" s="260">
        <v>448776</v>
      </c>
      <c r="P107" s="287" t="s">
        <v>85</v>
      </c>
      <c r="Q107" s="286"/>
      <c r="R107" s="1099">
        <v>4000000</v>
      </c>
      <c r="S107" s="510"/>
      <c r="T107" s="330"/>
      <c r="U107" s="510"/>
      <c r="V107" s="286"/>
      <c r="W107" s="286"/>
      <c r="X107" s="609" t="s">
        <v>2647</v>
      </c>
      <c r="Y107" s="233"/>
    </row>
    <row r="108" spans="1:123" ht="32.25" customHeight="1">
      <c r="A108" s="241" t="s">
        <v>731</v>
      </c>
      <c r="B108" s="313" t="s">
        <v>33</v>
      </c>
      <c r="C108" s="239" t="s">
        <v>443</v>
      </c>
      <c r="D108" s="307">
        <v>5163372</v>
      </c>
      <c r="E108" s="316"/>
      <c r="F108" s="316" t="s">
        <v>2951</v>
      </c>
      <c r="G108" s="323" t="s">
        <v>732</v>
      </c>
      <c r="H108" s="316">
        <v>2017</v>
      </c>
      <c r="I108" s="239" t="s">
        <v>733</v>
      </c>
      <c r="J108" s="239" t="s">
        <v>734</v>
      </c>
      <c r="K108" s="452">
        <v>0.67700000000000005</v>
      </c>
      <c r="L108" s="316"/>
      <c r="M108" s="316"/>
      <c r="N108" s="260">
        <f>O108/(0.001*365*0.9)</f>
        <v>441400.30441400304</v>
      </c>
      <c r="O108" s="314">
        <v>145000</v>
      </c>
      <c r="P108" s="429" t="s">
        <v>85</v>
      </c>
      <c r="Q108" s="250" t="s">
        <v>0</v>
      </c>
      <c r="R108" s="1086">
        <f t="shared" si="5"/>
        <v>1292404.22839011</v>
      </c>
      <c r="S108" s="314">
        <v>1900000</v>
      </c>
      <c r="T108" s="250" t="s">
        <v>29</v>
      </c>
      <c r="U108" s="307">
        <v>64600</v>
      </c>
      <c r="V108" s="250"/>
      <c r="W108" s="250" t="s">
        <v>30</v>
      </c>
      <c r="X108" s="239" t="s">
        <v>730</v>
      </c>
      <c r="Y108" s="233"/>
    </row>
    <row r="109" spans="1:123" ht="14.25" customHeight="1">
      <c r="A109" s="1503" t="s">
        <v>2868</v>
      </c>
      <c r="B109" s="1503"/>
      <c r="C109" s="1503"/>
      <c r="D109" s="1503"/>
      <c r="E109" s="1503"/>
      <c r="F109" s="1503"/>
      <c r="G109" s="1503"/>
      <c r="H109" s="1503"/>
      <c r="I109" s="1503"/>
      <c r="J109" s="1503"/>
      <c r="K109" s="1503"/>
      <c r="L109" s="1503"/>
      <c r="M109" s="1503"/>
      <c r="N109" s="1503"/>
      <c r="O109" s="1503"/>
      <c r="P109" s="1503"/>
      <c r="Q109" s="1503"/>
      <c r="R109" s="1503"/>
      <c r="S109" s="1503"/>
      <c r="T109" s="1503"/>
      <c r="U109" s="1503"/>
      <c r="V109" s="1503"/>
      <c r="W109" s="1503"/>
      <c r="X109" s="1503"/>
    </row>
    <row r="110" spans="1:123" ht="42.6" customHeight="1">
      <c r="A110" s="1190" t="s">
        <v>2193</v>
      </c>
      <c r="B110" s="1059" t="s">
        <v>145</v>
      </c>
      <c r="C110" s="1171" t="s">
        <v>2224</v>
      </c>
      <c r="D110" s="1161">
        <v>4125565</v>
      </c>
      <c r="E110" s="1179"/>
      <c r="F110" s="1123" t="s">
        <v>2225</v>
      </c>
      <c r="G110" s="1124" t="s">
        <v>356</v>
      </c>
      <c r="H110" s="1125">
        <v>45383</v>
      </c>
      <c r="I110" s="1123" t="s">
        <v>2226</v>
      </c>
      <c r="J110" s="878" t="s">
        <v>2676</v>
      </c>
      <c r="K110" s="1126">
        <f>(1100*60*24)/1000000</f>
        <v>1.5840000000000001</v>
      </c>
      <c r="L110" s="1123"/>
      <c r="M110" s="1123"/>
      <c r="N110" s="793">
        <f>K110*1000000*0.5</f>
        <v>792000</v>
      </c>
      <c r="O110" s="1127">
        <f>N110*0.001*365*0.9</f>
        <v>260172</v>
      </c>
      <c r="P110" s="1128" t="s">
        <v>85</v>
      </c>
      <c r="Q110" s="1123"/>
      <c r="R110" s="1111">
        <f>O110/0.112194</f>
        <v>2318947.5373014598</v>
      </c>
      <c r="S110" s="1123"/>
      <c r="T110" s="1123"/>
      <c r="U110" s="1123"/>
      <c r="V110" s="1129"/>
      <c r="W110" s="1123"/>
      <c r="X110" s="609" t="s">
        <v>2587</v>
      </c>
    </row>
    <row r="111" spans="1:123" ht="90.75" customHeight="1">
      <c r="A111" s="241" t="s">
        <v>2154</v>
      </c>
      <c r="B111" s="374" t="s">
        <v>145</v>
      </c>
      <c r="C111" s="767" t="s">
        <v>701</v>
      </c>
      <c r="D111" s="1161">
        <v>27940598</v>
      </c>
      <c r="E111" s="844"/>
      <c r="F111" s="239" t="s">
        <v>735</v>
      </c>
      <c r="G111" s="244" t="s">
        <v>35</v>
      </c>
      <c r="H111" s="795">
        <v>45291</v>
      </c>
      <c r="I111" s="239" t="s">
        <v>736</v>
      </c>
      <c r="J111" s="266" t="s">
        <v>2882</v>
      </c>
      <c r="K111" s="454">
        <f>(L111-M111)</f>
        <v>1.5869999999999997</v>
      </c>
      <c r="L111" s="1200">
        <v>5.3869999999999996</v>
      </c>
      <c r="M111" s="1200">
        <v>3.8</v>
      </c>
      <c r="N111" s="260">
        <f>K111*1000000*0.55</f>
        <v>872850</v>
      </c>
      <c r="O111" s="260">
        <f>N111*(0.001*365*0.9)</f>
        <v>286731.22500000003</v>
      </c>
      <c r="P111" s="1068" t="s">
        <v>85</v>
      </c>
      <c r="Q111" s="239"/>
      <c r="R111" s="1086">
        <f>O111/0.112194</f>
        <v>2555673.4317343174</v>
      </c>
      <c r="S111" s="248"/>
      <c r="T111" s="277" t="s">
        <v>737</v>
      </c>
      <c r="U111" s="250"/>
      <c r="V111" s="239"/>
      <c r="W111" s="239"/>
      <c r="X111" s="286" t="s">
        <v>2883</v>
      </c>
    </row>
    <row r="112" spans="1:123" ht="90.75" customHeight="1">
      <c r="A112" s="241" t="s">
        <v>738</v>
      </c>
      <c r="B112" s="241" t="s">
        <v>145</v>
      </c>
      <c r="C112" s="767" t="s">
        <v>701</v>
      </c>
      <c r="D112" s="455">
        <v>21057754</v>
      </c>
      <c r="E112" s="844"/>
      <c r="F112" s="239" t="s">
        <v>739</v>
      </c>
      <c r="G112" s="244" t="s">
        <v>35</v>
      </c>
      <c r="H112" s="868">
        <v>45291</v>
      </c>
      <c r="I112" s="239" t="s">
        <v>2153</v>
      </c>
      <c r="J112" s="266" t="s">
        <v>2677</v>
      </c>
      <c r="K112" s="266">
        <v>6.7</v>
      </c>
      <c r="L112" s="452">
        <v>5.9960000000000004</v>
      </c>
      <c r="M112" s="452">
        <v>4.0220000000000002</v>
      </c>
      <c r="N112" s="321">
        <v>2939040</v>
      </c>
      <c r="O112" s="260">
        <f>N112*(0.001*365*0.9)</f>
        <v>965474.64</v>
      </c>
      <c r="P112" s="1068" t="s">
        <v>85</v>
      </c>
      <c r="Q112" s="239" t="s">
        <v>0</v>
      </c>
      <c r="R112" s="1088">
        <f>O112/0.112194</f>
        <v>8605403.4975132365</v>
      </c>
      <c r="S112" s="248"/>
      <c r="T112" s="248"/>
      <c r="U112" s="250"/>
      <c r="V112" s="266"/>
      <c r="W112" s="239"/>
      <c r="X112" s="286" t="s">
        <v>2588</v>
      </c>
    </row>
    <row r="113" spans="1:48" s="233" customFormat="1" ht="90.75" customHeight="1">
      <c r="A113" s="10" t="s">
        <v>859</v>
      </c>
      <c r="B113" s="17" t="s">
        <v>145</v>
      </c>
      <c r="C113" s="210" t="s">
        <v>392</v>
      </c>
      <c r="D113" s="510">
        <v>9250000</v>
      </c>
      <c r="E113" s="1153"/>
      <c r="F113" s="33" t="s">
        <v>860</v>
      </c>
      <c r="G113" s="11" t="s">
        <v>35</v>
      </c>
      <c r="H113" s="33">
        <v>2024</v>
      </c>
      <c r="I113" s="33" t="s">
        <v>861</v>
      </c>
      <c r="J113" s="813" t="s">
        <v>2727</v>
      </c>
      <c r="K113" s="980"/>
      <c r="L113" s="33"/>
      <c r="M113" s="33"/>
      <c r="N113" s="981">
        <v>14832000</v>
      </c>
      <c r="O113" s="982">
        <v>4872312</v>
      </c>
      <c r="P113" s="10" t="s">
        <v>53</v>
      </c>
      <c r="Q113" s="33"/>
      <c r="R113" s="1100">
        <f>O113/0.112194</f>
        <v>43427562.971281886</v>
      </c>
      <c r="S113" s="983"/>
      <c r="T113" s="40"/>
      <c r="U113" s="813" t="s">
        <v>2728</v>
      </c>
      <c r="V113" s="210"/>
      <c r="W113" s="210"/>
      <c r="X113" s="1138" t="s">
        <v>2726</v>
      </c>
    </row>
    <row r="114" spans="1:48" s="317" customFormat="1" ht="90.75" customHeight="1">
      <c r="A114" s="256" t="s">
        <v>3008</v>
      </c>
      <c r="B114" s="241" t="s">
        <v>145</v>
      </c>
      <c r="C114" s="767" t="s">
        <v>3009</v>
      </c>
      <c r="D114" s="1162">
        <v>19631287</v>
      </c>
      <c r="E114" s="818"/>
      <c r="F114" s="239" t="s">
        <v>2194</v>
      </c>
      <c r="G114" s="244" t="s">
        <v>742</v>
      </c>
      <c r="H114" s="715" t="s">
        <v>2540</v>
      </c>
      <c r="I114" s="239" t="s">
        <v>2740</v>
      </c>
      <c r="J114" s="699" t="s">
        <v>3011</v>
      </c>
      <c r="K114" s="991"/>
      <c r="L114" s="1205">
        <v>3.33</v>
      </c>
      <c r="M114" s="1205">
        <v>3.33</v>
      </c>
      <c r="N114" s="807"/>
      <c r="O114" s="806">
        <v>1100000</v>
      </c>
      <c r="P114" s="241" t="s">
        <v>85</v>
      </c>
      <c r="Q114" s="239"/>
      <c r="R114" s="1101">
        <f>O114/0.112194</f>
        <v>9804445.8705456611</v>
      </c>
      <c r="S114" s="421"/>
      <c r="T114" s="248"/>
      <c r="U114" s="239"/>
      <c r="V114" s="239"/>
      <c r="W114" s="239" t="s">
        <v>30</v>
      </c>
      <c r="X114" s="1140" t="s">
        <v>3010</v>
      </c>
      <c r="Y114" s="233"/>
      <c r="Z114" s="233"/>
      <c r="AA114" s="233"/>
      <c r="AB114" s="233"/>
      <c r="AC114" s="233"/>
      <c r="AD114" s="233"/>
      <c r="AE114" s="233"/>
      <c r="AF114" s="233"/>
      <c r="AG114" s="233"/>
      <c r="AH114" s="233"/>
      <c r="AI114" s="233"/>
      <c r="AJ114" s="233"/>
      <c r="AK114" s="233"/>
      <c r="AL114" s="233"/>
      <c r="AM114" s="233"/>
      <c r="AN114" s="233"/>
      <c r="AO114" s="233"/>
      <c r="AP114" s="233"/>
      <c r="AQ114" s="233"/>
      <c r="AR114" s="233"/>
      <c r="AS114" s="233"/>
      <c r="AT114" s="233"/>
      <c r="AU114" s="233"/>
      <c r="AV114" s="1199"/>
    </row>
    <row r="115" spans="1:48" s="233" customFormat="1" ht="90.75" customHeight="1">
      <c r="A115" s="984" t="s">
        <v>2679</v>
      </c>
      <c r="B115" s="985" t="s">
        <v>145</v>
      </c>
      <c r="C115" s="1172" t="s">
        <v>2682</v>
      </c>
      <c r="D115" s="1169">
        <v>6517590</v>
      </c>
      <c r="E115" s="1180"/>
      <c r="F115" s="815" t="s">
        <v>2681</v>
      </c>
      <c r="G115" s="986" t="s">
        <v>221</v>
      </c>
      <c r="H115" s="869">
        <v>45413</v>
      </c>
      <c r="I115" s="815" t="s">
        <v>2683</v>
      </c>
      <c r="J115" s="792" t="s">
        <v>2684</v>
      </c>
      <c r="K115" s="790"/>
      <c r="L115" s="987"/>
      <c r="M115" s="987"/>
      <c r="N115" s="814"/>
      <c r="O115" s="793">
        <v>189321</v>
      </c>
      <c r="P115" s="1074" t="s">
        <v>85</v>
      </c>
      <c r="Q115" s="815"/>
      <c r="R115" s="1102"/>
      <c r="S115" s="988"/>
      <c r="T115" s="988"/>
      <c r="U115" s="989"/>
      <c r="V115" s="990"/>
      <c r="W115" s="815"/>
      <c r="X115" s="1137" t="s">
        <v>2678</v>
      </c>
    </row>
    <row r="116" spans="1:48" ht="90.75" customHeight="1">
      <c r="A116" s="241" t="s">
        <v>2258</v>
      </c>
      <c r="B116" s="733" t="s">
        <v>145</v>
      </c>
      <c r="C116" s="767" t="s">
        <v>2685</v>
      </c>
      <c r="D116" s="1161">
        <v>15569533</v>
      </c>
      <c r="E116" s="844"/>
      <c r="F116" s="286" t="s">
        <v>2236</v>
      </c>
      <c r="G116" s="499" t="s">
        <v>92</v>
      </c>
      <c r="H116" s="734">
        <v>2024</v>
      </c>
      <c r="I116" s="239" t="s">
        <v>2686</v>
      </c>
      <c r="J116" s="735" t="s">
        <v>2688</v>
      </c>
      <c r="K116" s="736">
        <v>4.5999999999999996</v>
      </c>
      <c r="L116" s="636"/>
      <c r="M116" s="636"/>
      <c r="N116" s="637"/>
      <c r="O116" s="700">
        <v>775990</v>
      </c>
      <c r="P116" s="1075" t="s">
        <v>85</v>
      </c>
      <c r="Q116" s="247"/>
      <c r="R116" s="1103"/>
      <c r="S116" s="248"/>
      <c r="T116" s="248"/>
      <c r="U116" s="250"/>
      <c r="V116" s="710"/>
      <c r="W116" s="239"/>
      <c r="X116" s="1138" t="s">
        <v>2687</v>
      </c>
    </row>
    <row r="117" spans="1:48" ht="55.5" customHeight="1">
      <c r="A117" s="57" t="s">
        <v>2885</v>
      </c>
      <c r="B117" s="57" t="s">
        <v>145</v>
      </c>
      <c r="C117" s="1173" t="s">
        <v>2884</v>
      </c>
      <c r="D117" s="1161">
        <v>28399509</v>
      </c>
      <c r="E117" s="1181">
        <v>2300</v>
      </c>
      <c r="F117" s="183" t="s">
        <v>726</v>
      </c>
      <c r="G117" s="31" t="s">
        <v>92</v>
      </c>
      <c r="H117" s="770"/>
      <c r="I117" s="796" t="s">
        <v>489</v>
      </c>
      <c r="J117" s="796" t="s">
        <v>2887</v>
      </c>
      <c r="K117" s="236">
        <v>8.64</v>
      </c>
      <c r="L117" s="1206">
        <v>6.63</v>
      </c>
      <c r="M117" s="1207">
        <v>6.63</v>
      </c>
      <c r="N117" s="100">
        <v>3872146.1187214609</v>
      </c>
      <c r="O117" s="237">
        <v>1272000</v>
      </c>
      <c r="P117" s="1076"/>
      <c r="Q117" s="101"/>
      <c r="R117" s="1104">
        <f>O117/0.112194</f>
        <v>11337504.67939462</v>
      </c>
      <c r="S117" s="216"/>
      <c r="T117" s="216"/>
      <c r="U117" s="216"/>
      <c r="V117" s="98"/>
      <c r="W117" s="198"/>
      <c r="X117" s="1141" t="s">
        <v>2886</v>
      </c>
    </row>
    <row r="118" spans="1:48" ht="90.75" customHeight="1">
      <c r="A118" s="241" t="s">
        <v>2234</v>
      </c>
      <c r="B118" s="241" t="s">
        <v>145</v>
      </c>
      <c r="C118" s="1174" t="s">
        <v>2240</v>
      </c>
      <c r="D118" s="295">
        <v>23175993</v>
      </c>
      <c r="E118" s="1182"/>
      <c r="F118" s="239" t="s">
        <v>1270</v>
      </c>
      <c r="G118" s="244" t="s">
        <v>92</v>
      </c>
      <c r="H118" s="301"/>
      <c r="I118" s="737" t="s">
        <v>2689</v>
      </c>
      <c r="J118" s="719" t="s">
        <v>2604</v>
      </c>
      <c r="K118" s="301">
        <f>(6000*60*24)/1000000</f>
        <v>8.64</v>
      </c>
      <c r="L118" s="296">
        <v>7.4329999999999998</v>
      </c>
      <c r="M118" s="296">
        <v>7.4329999999999998</v>
      </c>
      <c r="N118" s="246">
        <f>(K118*1000000)*0.5</f>
        <v>4320000</v>
      </c>
      <c r="O118" s="700">
        <v>1290000</v>
      </c>
      <c r="P118" s="1077" t="s">
        <v>85</v>
      </c>
      <c r="Q118" s="451" t="s">
        <v>0</v>
      </c>
      <c r="R118" s="1086">
        <f>O118/0.112194</f>
        <v>11497941.066367185</v>
      </c>
      <c r="S118" s="316"/>
      <c r="T118" s="316"/>
      <c r="U118" s="316"/>
      <c r="V118" s="271"/>
      <c r="W118" s="316"/>
      <c r="X118" s="239" t="s">
        <v>2644</v>
      </c>
    </row>
    <row r="119" spans="1:48" ht="58.5" customHeight="1">
      <c r="A119" s="635" t="s">
        <v>815</v>
      </c>
      <c r="B119" s="639" t="s">
        <v>145</v>
      </c>
      <c r="C119" s="1175" t="s">
        <v>816</v>
      </c>
      <c r="D119" s="1161">
        <v>9638333</v>
      </c>
      <c r="E119" s="845"/>
      <c r="F119" s="239" t="s">
        <v>817</v>
      </c>
      <c r="G119" s="244" t="s">
        <v>818</v>
      </c>
      <c r="H119" s="286"/>
      <c r="I119" s="254" t="s">
        <v>806</v>
      </c>
      <c r="J119" s="266" t="s">
        <v>3124</v>
      </c>
      <c r="K119" s="1211">
        <f>(N119/0.5)/1000000</f>
        <v>1.2</v>
      </c>
      <c r="L119" s="1200">
        <v>2.4790000000000001</v>
      </c>
      <c r="M119" s="1200">
        <v>2.4790000000000001</v>
      </c>
      <c r="N119" s="457">
        <f>600*1000</f>
        <v>600000</v>
      </c>
      <c r="O119" s="319">
        <f>600*365*0.9</f>
        <v>197100</v>
      </c>
      <c r="P119" s="558" t="s">
        <v>85</v>
      </c>
      <c r="Q119" s="640"/>
      <c r="R119" s="1083">
        <f>O119/0.112194</f>
        <v>1756778.4373495909</v>
      </c>
      <c r="S119" s="642"/>
      <c r="T119" s="254"/>
      <c r="U119" s="254"/>
      <c r="V119" s="254"/>
      <c r="W119" s="254"/>
      <c r="X119" s="609" t="s">
        <v>3125</v>
      </c>
    </row>
    <row r="120" spans="1:48" ht="58.5" customHeight="1">
      <c r="A120" s="265" t="s">
        <v>3086</v>
      </c>
      <c r="B120" s="241" t="s">
        <v>145</v>
      </c>
      <c r="C120" s="768" t="s">
        <v>3087</v>
      </c>
      <c r="D120" s="1188">
        <v>14189337</v>
      </c>
      <c r="E120" s="845"/>
      <c r="F120" s="286" t="s">
        <v>1485</v>
      </c>
      <c r="G120" s="376" t="s">
        <v>314</v>
      </c>
      <c r="H120" s="757" t="s">
        <v>2916</v>
      </c>
      <c r="I120" s="286" t="s">
        <v>3087</v>
      </c>
      <c r="J120" s="710" t="s">
        <v>3088</v>
      </c>
      <c r="K120" s="1081"/>
      <c r="L120" s="1208"/>
      <c r="M120" s="286"/>
      <c r="N120" s="763"/>
      <c r="O120" s="801">
        <v>675350</v>
      </c>
      <c r="P120" s="673" t="s">
        <v>85</v>
      </c>
      <c r="Q120" s="510"/>
      <c r="R120" s="1088">
        <f>O120/0.112194</f>
        <v>6019484.107884557</v>
      </c>
      <c r="T120" s="286"/>
      <c r="U120" s="286"/>
      <c r="V120" s="286"/>
      <c r="W120" s="286"/>
      <c r="X120" s="1139" t="s">
        <v>3093</v>
      </c>
    </row>
    <row r="121" spans="1:48" ht="81.599999999999994" customHeight="1">
      <c r="A121" s="256" t="s">
        <v>2693</v>
      </c>
      <c r="B121" s="241" t="s">
        <v>145</v>
      </c>
      <c r="C121" s="767" t="s">
        <v>2694</v>
      </c>
      <c r="D121" s="510"/>
      <c r="E121" s="844"/>
      <c r="F121" s="239" t="s">
        <v>2945</v>
      </c>
      <c r="G121" s="244" t="s">
        <v>314</v>
      </c>
      <c r="H121" s="1049" t="s">
        <v>1542</v>
      </c>
      <c r="I121" s="239" t="s">
        <v>2695</v>
      </c>
      <c r="J121" s="710" t="s">
        <v>3085</v>
      </c>
      <c r="K121" s="1082"/>
      <c r="L121" s="286"/>
      <c r="M121" s="286"/>
      <c r="N121" s="763"/>
      <c r="O121" s="728">
        <v>2500000</v>
      </c>
      <c r="P121" s="287" t="s">
        <v>168</v>
      </c>
      <c r="Q121" s="286"/>
      <c r="R121" s="1085">
        <f>O121/0.112194</f>
        <v>22282831.523967411</v>
      </c>
      <c r="S121" s="661"/>
      <c r="T121" s="340"/>
      <c r="U121" s="510"/>
      <c r="V121" s="286"/>
      <c r="W121" s="286"/>
      <c r="X121" s="1142" t="s">
        <v>3084</v>
      </c>
    </row>
    <row r="122" spans="1:48" ht="101.25" customHeight="1">
      <c r="A122" s="241" t="s">
        <v>2130</v>
      </c>
      <c r="B122" s="241" t="s">
        <v>145</v>
      </c>
      <c r="C122" s="767" t="s">
        <v>764</v>
      </c>
      <c r="D122" s="402">
        <v>5624805</v>
      </c>
      <c r="E122" s="818"/>
      <c r="F122" s="239" t="s">
        <v>765</v>
      </c>
      <c r="G122" s="244" t="s">
        <v>766</v>
      </c>
      <c r="H122" s="749">
        <v>45291</v>
      </c>
      <c r="I122" s="239" t="s">
        <v>767</v>
      </c>
      <c r="J122" s="239" t="s">
        <v>768</v>
      </c>
      <c r="K122" s="1212">
        <v>4.0579999999999998</v>
      </c>
      <c r="L122" s="396">
        <v>4.0579999999999998</v>
      </c>
      <c r="M122" s="396">
        <v>4.0579999999999998</v>
      </c>
      <c r="N122" s="260">
        <f>K122*1000000*0.55</f>
        <v>2231900</v>
      </c>
      <c r="O122" s="260">
        <f>N122*0.001*365*0.9</f>
        <v>733179.15</v>
      </c>
      <c r="P122" s="463" t="s">
        <v>85</v>
      </c>
      <c r="Q122" s="250" t="s">
        <v>0</v>
      </c>
      <c r="R122" s="1105"/>
      <c r="S122" s="261">
        <f>O122/0.112194</f>
        <v>6534922.9905342534</v>
      </c>
      <c r="T122" s="248" t="s">
        <v>163</v>
      </c>
      <c r="U122" s="250"/>
      <c r="V122" s="239"/>
      <c r="W122" s="239" t="s">
        <v>769</v>
      </c>
      <c r="X122" s="286" t="s">
        <v>2482</v>
      </c>
    </row>
    <row r="123" spans="1:48" ht="101.25" customHeight="1">
      <c r="A123" s="256" t="s">
        <v>3000</v>
      </c>
      <c r="B123" s="241" t="s">
        <v>145</v>
      </c>
      <c r="C123" s="767" t="s">
        <v>3001</v>
      </c>
      <c r="D123" s="1162">
        <v>7613944</v>
      </c>
      <c r="E123" s="818"/>
      <c r="F123" s="239" t="s">
        <v>3002</v>
      </c>
      <c r="G123" s="244" t="s">
        <v>227</v>
      </c>
      <c r="H123" s="717" t="s">
        <v>3003</v>
      </c>
      <c r="I123" s="239" t="s">
        <v>3004</v>
      </c>
      <c r="J123" s="699" t="s">
        <v>3007</v>
      </c>
      <c r="K123" s="856"/>
      <c r="L123" s="1205">
        <v>3.7490000000000001</v>
      </c>
      <c r="M123" s="1205">
        <v>3.2890000000000001</v>
      </c>
      <c r="N123" s="698">
        <v>2500</v>
      </c>
      <c r="O123" s="698">
        <v>603000</v>
      </c>
      <c r="P123" s="979" t="s">
        <v>85</v>
      </c>
      <c r="Q123" s="250"/>
      <c r="R123" s="1105"/>
      <c r="S123" s="732" t="s">
        <v>3005</v>
      </c>
      <c r="T123" s="248"/>
      <c r="U123" s="250"/>
      <c r="V123" s="239"/>
      <c r="W123" s="239"/>
      <c r="X123" s="1139" t="s">
        <v>3006</v>
      </c>
    </row>
    <row r="124" spans="1:48" ht="82.7" customHeight="1">
      <c r="A124" s="751" t="s">
        <v>2449</v>
      </c>
      <c r="B124" s="751" t="s">
        <v>145</v>
      </c>
      <c r="C124" s="1176" t="s">
        <v>2450</v>
      </c>
      <c r="D124" s="752"/>
      <c r="E124" s="1183"/>
      <c r="F124" s="753" t="s">
        <v>2448</v>
      </c>
      <c r="G124" s="754" t="s">
        <v>528</v>
      </c>
      <c r="H124" s="461" t="s">
        <v>808</v>
      </c>
      <c r="I124" s="308" t="s">
        <v>2451</v>
      </c>
      <c r="J124" s="710" t="s">
        <v>3122</v>
      </c>
      <c r="K124" s="319">
        <f>1000*60*24/1000</f>
        <v>1440</v>
      </c>
      <c r="L124" s="309"/>
      <c r="M124" s="309"/>
      <c r="N124" s="246">
        <f>O124/(0.001*365*0.9)</f>
        <v>630136.98630136985</v>
      </c>
      <c r="O124" s="319">
        <v>207000</v>
      </c>
      <c r="P124" s="558" t="s">
        <v>85</v>
      </c>
      <c r="Q124" s="308"/>
      <c r="R124" s="1083">
        <f>O124/0.112194</f>
        <v>1845018.4501845017</v>
      </c>
      <c r="S124" s="308"/>
      <c r="T124" s="308"/>
      <c r="U124" s="319">
        <v>13500</v>
      </c>
      <c r="V124" s="308"/>
      <c r="W124" s="308"/>
      <c r="X124" s="1139" t="s">
        <v>3123</v>
      </c>
    </row>
    <row r="125" spans="1:48" ht="101.25" customHeight="1">
      <c r="A125" s="635" t="s">
        <v>824</v>
      </c>
      <c r="B125" s="241" t="s">
        <v>145</v>
      </c>
      <c r="C125" s="1016" t="s">
        <v>825</v>
      </c>
      <c r="D125" s="1161">
        <v>41359122</v>
      </c>
      <c r="E125" s="1184"/>
      <c r="F125" s="609" t="s">
        <v>826</v>
      </c>
      <c r="G125" s="644" t="s">
        <v>101</v>
      </c>
      <c r="H125" s="469" t="s">
        <v>2729</v>
      </c>
      <c r="I125" s="266" t="s">
        <v>698</v>
      </c>
      <c r="J125" s="266" t="s">
        <v>2730</v>
      </c>
      <c r="K125" s="609"/>
      <c r="L125" s="609"/>
      <c r="M125" s="609"/>
      <c r="N125" s="646"/>
      <c r="O125" s="647"/>
      <c r="P125" s="374" t="s">
        <v>85</v>
      </c>
      <c r="Q125" s="609"/>
      <c r="R125" s="1085"/>
      <c r="S125" s="645"/>
      <c r="T125" s="648"/>
      <c r="U125" s="609"/>
      <c r="V125" s="609"/>
      <c r="W125" s="609"/>
      <c r="X125" s="1142" t="s">
        <v>2731</v>
      </c>
    </row>
    <row r="126" spans="1:48" ht="101.25" customHeight="1">
      <c r="A126" s="241" t="s">
        <v>2227</v>
      </c>
      <c r="B126" s="241" t="s">
        <v>145</v>
      </c>
      <c r="C126" s="767" t="s">
        <v>2229</v>
      </c>
      <c r="D126" s="1161">
        <v>12778397</v>
      </c>
      <c r="E126" s="1182"/>
      <c r="F126" s="316" t="s">
        <v>2228</v>
      </c>
      <c r="G126" s="244" t="s">
        <v>240</v>
      </c>
      <c r="H126" s="649" t="s">
        <v>202</v>
      </c>
      <c r="I126" s="239"/>
      <c r="J126" s="300" t="s">
        <v>2253</v>
      </c>
      <c r="K126" s="470">
        <v>1.387</v>
      </c>
      <c r="L126" s="1200">
        <v>4.194</v>
      </c>
      <c r="M126" s="1203"/>
      <c r="N126" s="391">
        <f>1900*365</f>
        <v>693500</v>
      </c>
      <c r="O126" s="278">
        <f>N126*(0.001*365*0.9)</f>
        <v>227814.75</v>
      </c>
      <c r="P126" s="299" t="s">
        <v>85</v>
      </c>
      <c r="Q126" s="650"/>
      <c r="R126" s="1106"/>
      <c r="S126" s="316"/>
      <c r="T126" s="316"/>
      <c r="U126" s="316"/>
      <c r="V126" s="390"/>
      <c r="W126" s="239"/>
      <c r="X126" s="609"/>
    </row>
    <row r="127" spans="1:48" ht="84" customHeight="1">
      <c r="A127" s="241" t="s">
        <v>2188</v>
      </c>
      <c r="B127" s="241" t="s">
        <v>145</v>
      </c>
      <c r="C127" s="767" t="s">
        <v>2185</v>
      </c>
      <c r="D127" s="314">
        <v>10200000</v>
      </c>
      <c r="E127" s="1185">
        <v>1100</v>
      </c>
      <c r="F127" s="316" t="s">
        <v>785</v>
      </c>
      <c r="G127" s="244" t="s">
        <v>240</v>
      </c>
      <c r="H127" s="285" t="s">
        <v>774</v>
      </c>
      <c r="I127" s="239" t="s">
        <v>786</v>
      </c>
      <c r="J127" s="300" t="s">
        <v>787</v>
      </c>
      <c r="K127" s="300">
        <v>5.04</v>
      </c>
      <c r="L127" s="1200">
        <v>4.0170000000000003</v>
      </c>
      <c r="M127" s="1200">
        <v>4.0170000000000003</v>
      </c>
      <c r="N127" s="1083">
        <v>2228000</v>
      </c>
      <c r="O127" s="314">
        <v>772400</v>
      </c>
      <c r="P127" s="299" t="s">
        <v>53</v>
      </c>
      <c r="Q127" s="466" t="s">
        <v>0</v>
      </c>
      <c r="R127" s="1092">
        <f>O127/0.112194</f>
        <v>6884503.6276449719</v>
      </c>
      <c r="S127" s="316"/>
      <c r="T127" s="316"/>
      <c r="U127" s="316"/>
      <c r="V127" s="300"/>
      <c r="W127" s="239"/>
      <c r="X127" s="286" t="s">
        <v>784</v>
      </c>
    </row>
    <row r="128" spans="1:48" ht="79.5" customHeight="1">
      <c r="A128" s="241" t="s">
        <v>827</v>
      </c>
      <c r="B128" s="287" t="s">
        <v>145</v>
      </c>
      <c r="C128" s="1177" t="s">
        <v>828</v>
      </c>
      <c r="D128" s="1169">
        <v>72339857</v>
      </c>
      <c r="E128" s="845">
        <f>1200000/365</f>
        <v>3287.6712328767121</v>
      </c>
      <c r="F128" s="239" t="s">
        <v>829</v>
      </c>
      <c r="G128" s="244" t="s">
        <v>237</v>
      </c>
      <c r="H128" s="682"/>
      <c r="I128" s="881" t="s">
        <v>2138</v>
      </c>
      <c r="J128" s="882" t="s">
        <v>3121</v>
      </c>
      <c r="K128" s="470">
        <f>(3000*60*24)/1000000</f>
        <v>4.32</v>
      </c>
      <c r="L128" s="1201">
        <v>9.2159999999999993</v>
      </c>
      <c r="M128" s="239"/>
      <c r="N128" s="240">
        <f>(K128*0.55)*1000000</f>
        <v>2376000.0000000005</v>
      </c>
      <c r="O128" s="807">
        <v>1200000</v>
      </c>
      <c r="P128" s="1073" t="s">
        <v>85</v>
      </c>
      <c r="Q128" s="862" t="s">
        <v>163</v>
      </c>
      <c r="R128" s="1107">
        <f>O128/0.112194</f>
        <v>10695759.131504359</v>
      </c>
      <c r="S128" s="248"/>
      <c r="T128" s="471" t="s">
        <v>830</v>
      </c>
      <c r="U128" s="250"/>
      <c r="V128" s="271"/>
      <c r="W128" s="239" t="s">
        <v>30</v>
      </c>
      <c r="X128" s="363" t="s">
        <v>3120</v>
      </c>
    </row>
    <row r="129" spans="1:24" ht="84" customHeight="1">
      <c r="A129" s="241" t="s">
        <v>890</v>
      </c>
      <c r="B129" s="733" t="s">
        <v>145</v>
      </c>
      <c r="C129" s="769" t="s">
        <v>891</v>
      </c>
      <c r="D129" s="363">
        <v>8256757</v>
      </c>
      <c r="E129" s="1184"/>
      <c r="F129" s="363" t="s">
        <v>892</v>
      </c>
      <c r="G129" s="383" t="s">
        <v>237</v>
      </c>
      <c r="H129" s="756">
        <v>45291</v>
      </c>
      <c r="I129" s="363" t="s">
        <v>410</v>
      </c>
      <c r="J129" s="363" t="s">
        <v>697</v>
      </c>
      <c r="K129" s="243">
        <v>2.8679999999999999</v>
      </c>
      <c r="L129" s="363"/>
      <c r="M129" s="363"/>
      <c r="N129" s="260">
        <f>2868000*0.6</f>
        <v>1720800</v>
      </c>
      <c r="O129" s="260">
        <f>N129*0.001*365*0.9</f>
        <v>565282.80000000005</v>
      </c>
      <c r="P129" s="242" t="s">
        <v>205</v>
      </c>
      <c r="Q129" s="300" t="s">
        <v>0</v>
      </c>
      <c r="R129" s="1108"/>
      <c r="S129" s="363"/>
      <c r="T129" s="363"/>
      <c r="U129" s="363"/>
      <c r="V129" s="363"/>
      <c r="W129" s="239" t="s">
        <v>30</v>
      </c>
      <c r="X129" s="507" t="s">
        <v>889</v>
      </c>
    </row>
    <row r="130" spans="1:24" s="233" customFormat="1" ht="99" customHeight="1">
      <c r="A130" s="241" t="s">
        <v>793</v>
      </c>
      <c r="B130" s="241" t="s">
        <v>145</v>
      </c>
      <c r="C130" s="239" t="s">
        <v>794</v>
      </c>
      <c r="D130" s="1161">
        <v>4074829</v>
      </c>
      <c r="E130" s="316"/>
      <c r="F130" s="316" t="s">
        <v>795</v>
      </c>
      <c r="G130" s="323" t="s">
        <v>135</v>
      </c>
      <c r="H130" s="1189" t="s">
        <v>2635</v>
      </c>
      <c r="I130" s="239" t="s">
        <v>796</v>
      </c>
      <c r="J130" s="266" t="s">
        <v>3118</v>
      </c>
      <c r="K130" s="243">
        <v>1.008</v>
      </c>
      <c r="L130" s="250"/>
      <c r="M130" s="316"/>
      <c r="N130" s="260">
        <v>791476</v>
      </c>
      <c r="O130" s="704">
        <v>260000</v>
      </c>
      <c r="P130" s="1066" t="s">
        <v>85</v>
      </c>
      <c r="Q130" s="247"/>
      <c r="R130" s="1086">
        <f>O130/0.112194</f>
        <v>2317414.4784926111</v>
      </c>
      <c r="S130" s="247"/>
      <c r="T130" s="316"/>
      <c r="U130" s="316"/>
      <c r="V130" s="316"/>
      <c r="W130" s="323"/>
      <c r="X130" s="286" t="s">
        <v>3119</v>
      </c>
    </row>
    <row r="131" spans="1:24" s="233" customFormat="1" ht="99" customHeight="1">
      <c r="A131" s="256" t="s">
        <v>2737</v>
      </c>
      <c r="B131" s="241" t="s">
        <v>145</v>
      </c>
      <c r="C131" s="239" t="s">
        <v>2738</v>
      </c>
      <c r="D131" s="1169">
        <v>12014469</v>
      </c>
      <c r="E131" s="316"/>
      <c r="F131" s="316" t="s">
        <v>2739</v>
      </c>
      <c r="G131" s="323" t="s">
        <v>1531</v>
      </c>
      <c r="H131" s="1189"/>
      <c r="I131" s="699" t="s">
        <v>2740</v>
      </c>
      <c r="J131" s="794" t="s">
        <v>2742</v>
      </c>
      <c r="K131" s="286"/>
      <c r="L131" s="510"/>
      <c r="M131" s="308"/>
      <c r="N131" s="510"/>
      <c r="O131" s="748">
        <v>1391205</v>
      </c>
      <c r="P131" s="1079" t="s">
        <v>85</v>
      </c>
      <c r="Q131" s="681"/>
      <c r="R131" s="1089"/>
      <c r="S131" s="799">
        <v>12400000</v>
      </c>
      <c r="T131" s="308"/>
      <c r="U131" s="710" t="s">
        <v>2741</v>
      </c>
      <c r="V131" s="308"/>
      <c r="W131" s="376"/>
      <c r="X131" s="1137" t="s">
        <v>2743</v>
      </c>
    </row>
    <row r="132" spans="1:24" s="760" customFormat="1" ht="63.95" customHeight="1">
      <c r="A132" s="1040" t="s">
        <v>2734</v>
      </c>
      <c r="B132" s="241" t="s">
        <v>145</v>
      </c>
      <c r="C132" s="1406" t="s">
        <v>2660</v>
      </c>
      <c r="D132" s="1169">
        <v>1709821</v>
      </c>
      <c r="E132" s="1186"/>
      <c r="F132" s="1000" t="s">
        <v>2732</v>
      </c>
      <c r="G132" s="1001" t="s">
        <v>1531</v>
      </c>
      <c r="H132" s="1150">
        <v>45260</v>
      </c>
      <c r="I132" s="1002"/>
      <c r="J132" s="1003" t="s">
        <v>2736</v>
      </c>
      <c r="K132" s="870"/>
      <c r="L132" s="874"/>
      <c r="M132" s="871"/>
      <c r="N132" s="874"/>
      <c r="O132" s="875"/>
      <c r="P132" s="1136" t="s">
        <v>85</v>
      </c>
      <c r="Q132" s="876"/>
      <c r="R132" s="1109"/>
      <c r="S132" s="876"/>
      <c r="T132" s="871"/>
      <c r="U132" s="871"/>
      <c r="V132" s="871"/>
      <c r="W132" s="872"/>
      <c r="X132" s="1144" t="s">
        <v>2733</v>
      </c>
    </row>
    <row r="133" spans="1:24" s="760" customFormat="1" ht="63.95" customHeight="1">
      <c r="A133" s="1191" t="s">
        <v>2754</v>
      </c>
      <c r="B133" s="241" t="s">
        <v>145</v>
      </c>
      <c r="C133" s="1406" t="s">
        <v>2660</v>
      </c>
      <c r="D133" s="1170"/>
      <c r="E133" s="1186"/>
      <c r="F133" s="1000" t="s">
        <v>2753</v>
      </c>
      <c r="G133" s="1001" t="s">
        <v>1531</v>
      </c>
      <c r="H133" s="1004" t="s">
        <v>2735</v>
      </c>
      <c r="I133" s="1002"/>
      <c r="J133" s="1003" t="s">
        <v>2751</v>
      </c>
      <c r="K133" s="870"/>
      <c r="L133" s="874"/>
      <c r="M133" s="871"/>
      <c r="N133" s="874"/>
      <c r="O133" s="875"/>
      <c r="P133" s="1078" t="s">
        <v>168</v>
      </c>
      <c r="Q133" s="876"/>
      <c r="R133" s="1109"/>
      <c r="S133" s="876"/>
      <c r="T133" s="871"/>
      <c r="U133" s="871"/>
      <c r="V133" s="871"/>
      <c r="W133" s="872"/>
      <c r="X133" s="1144" t="s">
        <v>2750</v>
      </c>
    </row>
    <row r="134" spans="1:24" s="760" customFormat="1" ht="63.95" customHeight="1">
      <c r="A134" s="241" t="s">
        <v>836</v>
      </c>
      <c r="B134" s="241" t="s">
        <v>145</v>
      </c>
      <c r="C134" s="767" t="s">
        <v>837</v>
      </c>
      <c r="D134" s="1161">
        <v>2454489</v>
      </c>
      <c r="E134" s="1182"/>
      <c r="F134" s="316" t="s">
        <v>838</v>
      </c>
      <c r="G134" s="323" t="s">
        <v>148</v>
      </c>
      <c r="H134" s="761" t="s">
        <v>2752</v>
      </c>
      <c r="I134" s="239" t="s">
        <v>839</v>
      </c>
      <c r="J134" s="272" t="s">
        <v>2152</v>
      </c>
      <c r="K134" s="877">
        <f>(425*60*24)/1000000</f>
        <v>0.61199999999999999</v>
      </c>
      <c r="L134" s="855"/>
      <c r="M134" s="855"/>
      <c r="N134" s="260">
        <f>K134*1000000*0.5</f>
        <v>306000</v>
      </c>
      <c r="O134" s="698" t="s">
        <v>2856</v>
      </c>
      <c r="P134" s="1066" t="s">
        <v>85</v>
      </c>
      <c r="Q134" s="247" t="s">
        <v>0</v>
      </c>
      <c r="R134" s="1086">
        <f>250000/0.112194</f>
        <v>2228283.1523967413</v>
      </c>
      <c r="S134" s="247"/>
      <c r="T134" s="316"/>
      <c r="U134" s="316"/>
      <c r="V134" s="699"/>
      <c r="W134" s="239"/>
      <c r="X134" s="1143" t="s">
        <v>2857</v>
      </c>
    </row>
    <row r="135" spans="1:24" s="760" customFormat="1" ht="63.95" customHeight="1">
      <c r="A135" s="1040" t="s">
        <v>2745</v>
      </c>
      <c r="B135" s="241" t="s">
        <v>145</v>
      </c>
      <c r="C135" s="1178" t="s">
        <v>2747</v>
      </c>
      <c r="D135" s="1169">
        <v>5566679</v>
      </c>
      <c r="E135" s="1187"/>
      <c r="F135" s="1000" t="s">
        <v>2746</v>
      </c>
      <c r="G135" s="1001" t="s">
        <v>155</v>
      </c>
      <c r="H135" s="1133">
        <v>45473</v>
      </c>
      <c r="I135" s="873" t="s">
        <v>2748</v>
      </c>
      <c r="J135" s="1134" t="s">
        <v>2749</v>
      </c>
      <c r="K135" s="870"/>
      <c r="L135" s="874"/>
      <c r="M135" s="871"/>
      <c r="N135" s="874"/>
      <c r="O135" s="1135">
        <v>336582</v>
      </c>
      <c r="P135" s="1136" t="s">
        <v>85</v>
      </c>
      <c r="Q135" s="876"/>
      <c r="R135" s="1109"/>
      <c r="S135" s="1209">
        <v>3000000</v>
      </c>
      <c r="T135" s="871"/>
      <c r="U135" s="871"/>
      <c r="V135" s="871"/>
      <c r="W135" s="872"/>
      <c r="X135" s="1144" t="s">
        <v>2744</v>
      </c>
    </row>
    <row r="136" spans="1:24" s="233" customFormat="1" ht="14.25" customHeight="1">
      <c r="A136" s="1492" t="s">
        <v>3157</v>
      </c>
      <c r="B136" s="1492"/>
      <c r="C136" s="1492"/>
      <c r="D136" s="1492"/>
      <c r="E136" s="1492"/>
      <c r="F136" s="1492"/>
      <c r="G136" s="1492"/>
      <c r="H136" s="1492"/>
      <c r="I136" s="1492"/>
      <c r="J136" s="1492"/>
      <c r="K136" s="1492"/>
      <c r="L136" s="1492"/>
      <c r="M136" s="1492"/>
      <c r="N136" s="1492"/>
      <c r="O136" s="1492"/>
      <c r="P136" s="1492"/>
      <c r="Q136" s="1492"/>
      <c r="R136" s="1492"/>
      <c r="S136" s="1492"/>
      <c r="T136" s="1492"/>
      <c r="U136" s="1492"/>
      <c r="V136" s="1492"/>
      <c r="W136" s="1492"/>
      <c r="X136" s="1492"/>
    </row>
    <row r="137" spans="1:24" s="233" customFormat="1" ht="42.75" customHeight="1">
      <c r="A137" s="241" t="s">
        <v>840</v>
      </c>
      <c r="B137" s="241" t="s">
        <v>303</v>
      </c>
      <c r="C137" s="363" t="s">
        <v>841</v>
      </c>
      <c r="D137" s="455">
        <v>10362077</v>
      </c>
      <c r="E137" s="364"/>
      <c r="F137" s="316" t="s">
        <v>842</v>
      </c>
      <c r="G137" s="365" t="s">
        <v>35</v>
      </c>
      <c r="H137" s="1151"/>
      <c r="I137" s="364"/>
      <c r="J137" s="364"/>
      <c r="K137" s="364"/>
      <c r="L137" s="309">
        <v>1.679</v>
      </c>
      <c r="M137" s="925">
        <v>1.679</v>
      </c>
      <c r="N137" s="260">
        <f>O137/(0.001*0.9*365)</f>
        <v>467248.09741248097</v>
      </c>
      <c r="O137" s="311">
        <v>153491</v>
      </c>
      <c r="P137" s="1067" t="s">
        <v>85</v>
      </c>
      <c r="Q137" s="395"/>
      <c r="R137" s="1085">
        <f>O137/0.112194</f>
        <v>1368085.6373781129</v>
      </c>
      <c r="S137" s="364"/>
      <c r="T137" s="364"/>
      <c r="U137" s="1152">
        <v>11962</v>
      </c>
      <c r="V137" s="364"/>
      <c r="W137" s="363"/>
      <c r="X137" s="239" t="s">
        <v>2881</v>
      </c>
    </row>
    <row r="138" spans="1:24" s="233" customFormat="1" ht="42" customHeight="1">
      <c r="A138" s="188" t="s">
        <v>844</v>
      </c>
      <c r="B138" s="17" t="s">
        <v>303</v>
      </c>
      <c r="C138" s="187" t="s">
        <v>845</v>
      </c>
      <c r="D138" s="826">
        <v>15000000</v>
      </c>
      <c r="E138" s="187"/>
      <c r="F138" s="187" t="s">
        <v>283</v>
      </c>
      <c r="G138" s="189" t="s">
        <v>35</v>
      </c>
      <c r="H138" s="213">
        <v>40086</v>
      </c>
      <c r="I138" s="187" t="s">
        <v>846</v>
      </c>
      <c r="J138" s="187" t="s">
        <v>847</v>
      </c>
      <c r="K138" s="187">
        <v>0.124</v>
      </c>
      <c r="L138" s="187"/>
      <c r="M138" s="187"/>
      <c r="N138" s="1195">
        <f>O138/0.001/365/0.9</f>
        <v>3600000</v>
      </c>
      <c r="O138" s="192">
        <v>1182600</v>
      </c>
      <c r="P138" s="188" t="s">
        <v>168</v>
      </c>
      <c r="Q138" s="187"/>
      <c r="R138" s="1114">
        <f>O138/0.112194</f>
        <v>10540670.624097545</v>
      </c>
      <c r="S138" s="193"/>
      <c r="T138" s="194" t="s">
        <v>848</v>
      </c>
      <c r="U138" s="187"/>
      <c r="V138" s="187"/>
      <c r="W138" s="187"/>
      <c r="X138" s="9" t="s">
        <v>843</v>
      </c>
    </row>
    <row r="139" spans="1:24" s="233" customFormat="1" ht="65.25" customHeight="1">
      <c r="A139" s="113" t="s">
        <v>851</v>
      </c>
      <c r="B139" s="18" t="s">
        <v>303</v>
      </c>
      <c r="C139" s="20" t="s">
        <v>632</v>
      </c>
      <c r="D139" s="99">
        <v>30296412</v>
      </c>
      <c r="E139" s="93"/>
      <c r="F139" s="93" t="s">
        <v>852</v>
      </c>
      <c r="G139" s="13" t="s">
        <v>35</v>
      </c>
      <c r="H139" s="35" t="s">
        <v>853</v>
      </c>
      <c r="I139" s="52" t="s">
        <v>571</v>
      </c>
      <c r="J139" s="112" t="s">
        <v>854</v>
      </c>
      <c r="K139" s="14">
        <v>4.32</v>
      </c>
      <c r="L139" s="87">
        <v>7.5640000000000001</v>
      </c>
      <c r="M139" s="93"/>
      <c r="N139" s="1113">
        <f>O139/(365*0.001*0.9)</f>
        <v>1853881.2785388127</v>
      </c>
      <c r="O139" s="15">
        <v>609000</v>
      </c>
      <c r="P139" s="96" t="s">
        <v>53</v>
      </c>
      <c r="Q139" s="25"/>
      <c r="R139" s="1113">
        <f>O139/0.112194</f>
        <v>5428097.759238462</v>
      </c>
      <c r="S139" s="93"/>
      <c r="T139" s="93"/>
      <c r="U139" s="93"/>
      <c r="V139" s="112"/>
      <c r="W139" s="112"/>
      <c r="X139" s="112" t="s">
        <v>850</v>
      </c>
    </row>
    <row r="140" spans="1:24" s="233" customFormat="1" ht="44.1" customHeight="1">
      <c r="A140" s="113" t="s">
        <v>856</v>
      </c>
      <c r="B140" s="113" t="s">
        <v>261</v>
      </c>
      <c r="C140" s="112" t="s">
        <v>857</v>
      </c>
      <c r="D140" s="826">
        <v>123000000</v>
      </c>
      <c r="E140" s="112"/>
      <c r="F140" s="112" t="s">
        <v>804</v>
      </c>
      <c r="G140" s="13" t="s">
        <v>35</v>
      </c>
      <c r="H140" s="84">
        <v>34243</v>
      </c>
      <c r="I140" s="112" t="s">
        <v>857</v>
      </c>
      <c r="J140" s="112" t="s">
        <v>858</v>
      </c>
      <c r="K140" s="49">
        <v>0.36</v>
      </c>
      <c r="L140" s="112"/>
      <c r="M140" s="28"/>
      <c r="N140" s="102"/>
      <c r="O140" s="50"/>
      <c r="P140" s="62" t="s">
        <v>205</v>
      </c>
      <c r="Q140" s="1153"/>
      <c r="R140" s="1112"/>
      <c r="S140" s="23"/>
      <c r="T140" s="23"/>
      <c r="U140" s="112"/>
      <c r="V140" s="112"/>
      <c r="W140" s="28"/>
      <c r="X140" s="1145" t="s">
        <v>855</v>
      </c>
    </row>
    <row r="141" spans="1:24" ht="45" customHeight="1">
      <c r="A141" s="188" t="s">
        <v>863</v>
      </c>
      <c r="B141" s="188" t="s">
        <v>251</v>
      </c>
      <c r="C141" s="187" t="s">
        <v>864</v>
      </c>
      <c r="D141" s="826">
        <v>4750000</v>
      </c>
      <c r="E141" s="187"/>
      <c r="F141" s="187" t="s">
        <v>59</v>
      </c>
      <c r="G141" s="189" t="s">
        <v>35</v>
      </c>
      <c r="H141" s="187"/>
      <c r="I141" s="187" t="s">
        <v>865</v>
      </c>
      <c r="J141" s="188"/>
      <c r="K141" s="187"/>
      <c r="L141" s="187"/>
      <c r="M141" s="187"/>
      <c r="N141" s="211"/>
      <c r="O141" s="192"/>
      <c r="P141" s="1060" t="s">
        <v>168</v>
      </c>
      <c r="Q141" s="239"/>
      <c r="R141" s="1115"/>
      <c r="S141" s="193"/>
      <c r="T141" s="194"/>
      <c r="U141" s="187"/>
      <c r="V141" s="187"/>
      <c r="W141" s="187"/>
      <c r="X141" s="1145" t="s">
        <v>862</v>
      </c>
    </row>
    <row r="142" spans="1:24" ht="44.1" customHeight="1">
      <c r="A142" s="113" t="s">
        <v>867</v>
      </c>
      <c r="B142" s="113" t="s">
        <v>251</v>
      </c>
      <c r="C142" s="883" t="s">
        <v>868</v>
      </c>
      <c r="D142" s="884">
        <v>5412118</v>
      </c>
      <c r="E142" s="93"/>
      <c r="F142" s="93" t="s">
        <v>869</v>
      </c>
      <c r="G142" s="94" t="s">
        <v>870</v>
      </c>
      <c r="H142" s="93"/>
      <c r="I142" s="93" t="s">
        <v>871</v>
      </c>
      <c r="J142" s="93"/>
      <c r="K142" s="93"/>
      <c r="L142" s="93"/>
      <c r="M142" s="93"/>
      <c r="N142" s="25"/>
      <c r="O142" s="25"/>
      <c r="P142" s="1080" t="s">
        <v>168</v>
      </c>
      <c r="Q142" s="217"/>
      <c r="R142" s="1116"/>
      <c r="S142" s="93"/>
      <c r="T142" s="93"/>
      <c r="U142" s="93"/>
      <c r="V142" s="93"/>
      <c r="W142" s="112"/>
      <c r="X142" s="847" t="s">
        <v>866</v>
      </c>
    </row>
    <row r="143" spans="1:24" ht="38.25" customHeight="1">
      <c r="A143" s="188" t="s">
        <v>874</v>
      </c>
      <c r="B143" s="17" t="s">
        <v>261</v>
      </c>
      <c r="C143" s="187" t="s">
        <v>875</v>
      </c>
      <c r="D143" s="211">
        <v>3875822</v>
      </c>
      <c r="E143" s="187"/>
      <c r="F143" s="187" t="s">
        <v>876</v>
      </c>
      <c r="G143" s="189" t="s">
        <v>227</v>
      </c>
      <c r="H143" s="213">
        <v>38279</v>
      </c>
      <c r="I143" s="112" t="s">
        <v>877</v>
      </c>
      <c r="J143" s="187" t="s">
        <v>878</v>
      </c>
      <c r="K143" s="1193">
        <v>0.14000000000000001</v>
      </c>
      <c r="L143" s="9"/>
      <c r="M143" s="9"/>
      <c r="N143" s="724">
        <f>140000*0.6</f>
        <v>84000</v>
      </c>
      <c r="O143" s="1063">
        <f>N143*0.001*365*0.9</f>
        <v>27594</v>
      </c>
      <c r="P143" s="188" t="s">
        <v>205</v>
      </c>
      <c r="Q143" s="187"/>
      <c r="R143" s="1114"/>
      <c r="S143" s="193"/>
      <c r="T143" s="194"/>
      <c r="U143" s="187"/>
      <c r="V143" s="197"/>
      <c r="W143" s="112"/>
      <c r="X143" s="112" t="s">
        <v>873</v>
      </c>
    </row>
    <row r="144" spans="1:24" ht="38.25" customHeight="1">
      <c r="A144" s="238" t="s">
        <v>820</v>
      </c>
      <c r="B144" s="241" t="s">
        <v>303</v>
      </c>
      <c r="C144" s="610" t="s">
        <v>821</v>
      </c>
      <c r="D144" s="29">
        <v>50589532</v>
      </c>
      <c r="E144" s="52"/>
      <c r="F144" s="52" t="s">
        <v>822</v>
      </c>
      <c r="G144" s="89" t="s">
        <v>227</v>
      </c>
      <c r="H144" s="234" t="s">
        <v>774</v>
      </c>
      <c r="I144" s="52" t="s">
        <v>823</v>
      </c>
      <c r="J144" s="28"/>
      <c r="K144" s="363"/>
      <c r="L144" s="1210">
        <v>1.3540000000000001</v>
      </c>
      <c r="M144" s="1210">
        <v>1.3540000000000001</v>
      </c>
      <c r="N144" s="260">
        <f>O144/(0.001*365*0.9)</f>
        <v>1042222.2222222221</v>
      </c>
      <c r="O144" s="347">
        <v>342370</v>
      </c>
      <c r="P144" s="1196" t="s">
        <v>583</v>
      </c>
      <c r="Q144" s="52"/>
      <c r="R144" s="1113">
        <f>O144/0.112194</f>
        <v>3051589.2115442893</v>
      </c>
      <c r="S144" s="114"/>
      <c r="T144" s="126"/>
      <c r="U144" s="52"/>
      <c r="V144" s="52"/>
      <c r="W144" s="112"/>
      <c r="X144" s="52" t="s">
        <v>819</v>
      </c>
    </row>
    <row r="145" spans="1:24" ht="38.25" customHeight="1">
      <c r="A145" s="188" t="s">
        <v>879</v>
      </c>
      <c r="B145" s="188" t="s">
        <v>251</v>
      </c>
      <c r="C145" s="187" t="s">
        <v>880</v>
      </c>
      <c r="D145" s="211">
        <v>10000000</v>
      </c>
      <c r="E145" s="187"/>
      <c r="F145" s="187" t="s">
        <v>881</v>
      </c>
      <c r="G145" s="189" t="s">
        <v>528</v>
      </c>
      <c r="H145" s="213">
        <v>35065</v>
      </c>
      <c r="I145" s="187"/>
      <c r="J145" s="1192" t="s">
        <v>882</v>
      </c>
      <c r="K145" s="1194">
        <v>0.1</v>
      </c>
      <c r="L145" s="239"/>
      <c r="M145" s="239"/>
      <c r="N145" s="250"/>
      <c r="O145" s="333"/>
      <c r="P145" s="929" t="s">
        <v>205</v>
      </c>
      <c r="Q145" s="187"/>
      <c r="R145" s="1114"/>
      <c r="S145" s="193"/>
      <c r="T145" s="19"/>
      <c r="U145" s="9"/>
      <c r="V145" s="215"/>
      <c r="W145" s="33"/>
      <c r="X145" s="112"/>
    </row>
    <row r="146" spans="1:24" ht="58.5" customHeight="1">
      <c r="A146" s="1060" t="s">
        <v>884</v>
      </c>
      <c r="B146" s="53" t="s">
        <v>303</v>
      </c>
      <c r="C146" s="38" t="s">
        <v>632</v>
      </c>
      <c r="D146" s="103"/>
      <c r="E146" s="88"/>
      <c r="F146" s="88"/>
      <c r="G146" s="89" t="s">
        <v>240</v>
      </c>
      <c r="H146" s="92" t="s">
        <v>834</v>
      </c>
      <c r="I146" s="14" t="s">
        <v>571</v>
      </c>
      <c r="J146" s="14" t="s">
        <v>809</v>
      </c>
      <c r="K146" s="191">
        <v>8.64</v>
      </c>
      <c r="L146" s="1131"/>
      <c r="M146" s="1131"/>
      <c r="N146" s="1197">
        <f>O146/(365*0.001*0.9)</f>
        <v>2776255.7077625571</v>
      </c>
      <c r="O146" s="1198">
        <v>912000</v>
      </c>
      <c r="P146" s="97" t="s">
        <v>53</v>
      </c>
      <c r="Q146" s="103"/>
      <c r="R146" s="1117">
        <f>O146/0.112194</f>
        <v>8128776.9399433127</v>
      </c>
      <c r="S146" s="91"/>
      <c r="T146" s="88"/>
      <c r="U146" s="88"/>
      <c r="V146" s="37"/>
      <c r="W146" s="363"/>
      <c r="X146" s="1146" t="s">
        <v>883</v>
      </c>
    </row>
    <row r="147" spans="1:24" ht="47.1" customHeight="1">
      <c r="A147" s="17" t="s">
        <v>886</v>
      </c>
      <c r="B147" s="17" t="s">
        <v>261</v>
      </c>
      <c r="C147" s="9" t="s">
        <v>392</v>
      </c>
      <c r="D147" s="724">
        <v>3507270</v>
      </c>
      <c r="E147" s="9"/>
      <c r="F147" s="9" t="s">
        <v>585</v>
      </c>
      <c r="G147" s="723" t="s">
        <v>240</v>
      </c>
      <c r="H147" s="1061">
        <v>39630</v>
      </c>
      <c r="I147" s="33" t="s">
        <v>887</v>
      </c>
      <c r="J147" s="9" t="s">
        <v>888</v>
      </c>
      <c r="K147" s="1062">
        <v>1.18</v>
      </c>
      <c r="L147" s="1062">
        <v>1.18</v>
      </c>
      <c r="M147" s="9"/>
      <c r="N147" s="724">
        <v>991000</v>
      </c>
      <c r="O147" s="1063">
        <v>325543.5</v>
      </c>
      <c r="P147" s="17" t="s">
        <v>290</v>
      </c>
      <c r="Q147" s="9"/>
      <c r="R147" s="1118">
        <v>2901612</v>
      </c>
      <c r="S147" s="19"/>
      <c r="T147" s="1064"/>
      <c r="U147" s="9"/>
      <c r="V147" s="215"/>
      <c r="W147" s="9"/>
      <c r="X147" s="9" t="s">
        <v>885</v>
      </c>
    </row>
    <row r="148" spans="1:24" ht="44.45" customHeight="1">
      <c r="A148" s="241" t="s">
        <v>894</v>
      </c>
      <c r="B148" s="241" t="s">
        <v>303</v>
      </c>
      <c r="C148" s="239" t="s">
        <v>895</v>
      </c>
      <c r="D148" s="250"/>
      <c r="E148" s="239"/>
      <c r="F148" s="239" t="s">
        <v>896</v>
      </c>
      <c r="G148" s="244" t="s">
        <v>148</v>
      </c>
      <c r="H148" s="403" t="s">
        <v>897</v>
      </c>
      <c r="I148" s="239" t="s">
        <v>898</v>
      </c>
      <c r="J148" s="239" t="s">
        <v>899</v>
      </c>
      <c r="K148" s="243"/>
      <c r="L148" s="239"/>
      <c r="M148" s="239"/>
      <c r="N148" s="250">
        <v>4320000</v>
      </c>
      <c r="O148" s="333">
        <v>28500</v>
      </c>
      <c r="P148" s="241" t="s">
        <v>217</v>
      </c>
      <c r="Q148" s="239"/>
      <c r="R148" s="1105">
        <f>O148/0.112194</f>
        <v>254024.27937322852</v>
      </c>
      <c r="S148" s="248"/>
      <c r="T148" s="248" t="s">
        <v>900</v>
      </c>
      <c r="U148" s="239"/>
      <c r="V148" s="239"/>
      <c r="W148" s="239"/>
      <c r="X148" s="239" t="s">
        <v>893</v>
      </c>
    </row>
    <row r="149" spans="1:24" ht="22.5" customHeight="1"/>
    <row r="150" spans="1:24" s="233" customFormat="1" ht="15.95" customHeight="1">
      <c r="A150" s="1"/>
      <c r="B150" s="1"/>
      <c r="C150" s="1"/>
      <c r="D150" s="1"/>
      <c r="E150" s="1"/>
      <c r="F150" s="1"/>
      <c r="G150" s="1"/>
      <c r="H150" s="1"/>
      <c r="I150" s="5"/>
      <c r="J150" s="1"/>
      <c r="K150" s="1"/>
      <c r="L150" s="1"/>
      <c r="M150" s="1"/>
      <c r="N150" s="1"/>
      <c r="O150" s="1"/>
      <c r="P150" s="1"/>
      <c r="Q150" s="1"/>
      <c r="R150" s="1"/>
      <c r="S150" s="1"/>
      <c r="T150" s="1"/>
      <c r="U150" s="1"/>
      <c r="V150" s="1"/>
      <c r="W150" s="1"/>
      <c r="X150" s="1"/>
    </row>
    <row r="151" spans="1:24" ht="20.100000000000001" customHeight="1">
      <c r="A151" s="1"/>
      <c r="B151" s="1"/>
      <c r="C151" s="1"/>
      <c r="D151" s="1"/>
      <c r="E151" s="1"/>
      <c r="F151" s="1"/>
      <c r="G151" s="1"/>
      <c r="H151" s="1"/>
      <c r="I151" s="5"/>
      <c r="J151" s="1"/>
      <c r="K151" s="1"/>
      <c r="L151" s="1"/>
      <c r="M151" s="1"/>
      <c r="N151" s="1"/>
      <c r="O151" s="1"/>
      <c r="P151" s="1"/>
      <c r="Q151" s="1"/>
      <c r="R151" s="1"/>
      <c r="S151" s="1"/>
      <c r="T151" s="1"/>
      <c r="U151" s="1"/>
      <c r="V151" s="1"/>
      <c r="W151" s="1"/>
      <c r="X151" s="1"/>
    </row>
    <row r="152" spans="1:24" ht="30.6" customHeight="1">
      <c r="A152" s="1058" t="s">
        <v>901</v>
      </c>
      <c r="B152" s="1057" t="s">
        <v>2866</v>
      </c>
      <c r="D152" s="1"/>
      <c r="E152" s="1"/>
      <c r="F152" s="1"/>
      <c r="G152" s="1"/>
      <c r="H152" s="1"/>
      <c r="I152" s="5"/>
      <c r="J152" s="1"/>
      <c r="K152" s="1"/>
      <c r="L152" s="1"/>
      <c r="M152" s="1"/>
      <c r="N152" s="1"/>
      <c r="O152" s="1"/>
      <c r="P152" s="1"/>
      <c r="Q152" s="1"/>
      <c r="R152" s="1"/>
      <c r="S152" s="1"/>
      <c r="T152" s="1"/>
      <c r="U152" s="1"/>
      <c r="V152" s="1"/>
      <c r="W152" s="1"/>
      <c r="X152" s="1"/>
    </row>
    <row r="153" spans="1:24" ht="15" customHeight="1">
      <c r="A153" s="1432" t="s">
        <v>359</v>
      </c>
      <c r="B153" s="1029">
        <f>COUNTA(A9:A108)</f>
        <v>100</v>
      </c>
      <c r="D153" s="1"/>
      <c r="E153" s="1"/>
      <c r="F153" s="1"/>
      <c r="G153" s="1"/>
      <c r="H153" s="1"/>
      <c r="I153" s="5"/>
      <c r="J153" s="1"/>
      <c r="K153" s="1"/>
      <c r="L153" s="1"/>
      <c r="M153" s="1"/>
      <c r="N153" s="1"/>
      <c r="O153" s="1"/>
      <c r="P153" s="1"/>
      <c r="Q153" s="1"/>
      <c r="R153" s="1"/>
      <c r="S153" s="1"/>
      <c r="T153" s="1"/>
      <c r="U153" s="1"/>
      <c r="V153" s="1"/>
      <c r="W153" s="1"/>
      <c r="X153" s="1"/>
    </row>
    <row r="154" spans="1:24" ht="15" customHeight="1">
      <c r="A154" s="1432" t="s">
        <v>360</v>
      </c>
      <c r="B154" s="1029">
        <f>COUNTA(A110:A135)</f>
        <v>26</v>
      </c>
      <c r="D154" s="1"/>
      <c r="E154" s="1"/>
      <c r="F154" s="1"/>
      <c r="G154" s="1"/>
      <c r="H154" s="1"/>
      <c r="I154" s="5"/>
      <c r="J154" s="1"/>
      <c r="K154" s="1"/>
      <c r="L154" s="1"/>
      <c r="M154" s="1"/>
      <c r="N154" s="1"/>
      <c r="O154" s="1"/>
      <c r="P154" s="1"/>
      <c r="Q154" s="1"/>
      <c r="R154" s="1"/>
      <c r="S154" s="1"/>
      <c r="T154" s="1"/>
      <c r="U154" s="1"/>
      <c r="V154" s="1"/>
      <c r="W154" s="1"/>
      <c r="X154" s="1"/>
    </row>
    <row r="155" spans="1:24" ht="15" customHeight="1">
      <c r="A155" s="1432" t="s">
        <v>361</v>
      </c>
      <c r="B155" s="1028">
        <v>34</v>
      </c>
      <c r="D155" s="1"/>
      <c r="E155" s="1"/>
      <c r="F155" s="1"/>
      <c r="G155" s="1"/>
      <c r="H155" s="1"/>
      <c r="I155" s="5"/>
      <c r="J155" s="1"/>
      <c r="K155" s="1"/>
      <c r="L155" s="1"/>
      <c r="M155" s="1"/>
      <c r="N155" s="1"/>
      <c r="O155" s="1"/>
      <c r="P155" s="1"/>
      <c r="Q155" s="1"/>
      <c r="R155" s="1"/>
      <c r="S155" s="1"/>
      <c r="T155" s="1"/>
      <c r="U155" s="1"/>
      <c r="V155" s="1"/>
      <c r="W155" s="1"/>
      <c r="X155" s="1"/>
    </row>
    <row r="156" spans="1:24" ht="15" customHeight="1">
      <c r="A156" s="1"/>
      <c r="B156" s="1"/>
    </row>
    <row r="157" spans="1:24" ht="15" customHeight="1">
      <c r="A157" s="1"/>
      <c r="B157" s="1"/>
    </row>
    <row r="158" spans="1:24" ht="32.450000000000003" customHeight="1">
      <c r="A158" s="1052" t="s">
        <v>3179</v>
      </c>
      <c r="B158" s="1051" t="s">
        <v>2866</v>
      </c>
    </row>
    <row r="159" spans="1:24" ht="15" customHeight="1">
      <c r="A159" s="1433" t="s">
        <v>359</v>
      </c>
      <c r="B159" s="1407">
        <f>SUM(O9:O108)</f>
        <v>73487936.630810007</v>
      </c>
    </row>
    <row r="160" spans="1:24" ht="15" customHeight="1">
      <c r="A160" s="1429" t="s">
        <v>3176</v>
      </c>
      <c r="B160" s="106">
        <f>SUM(O110:O135)</f>
        <v>20680914.565000001</v>
      </c>
    </row>
    <row r="161" spans="25:28" ht="17.100000000000001" customHeight="1"/>
    <row r="162" spans="25:28" ht="14.25" customHeight="1">
      <c r="AB162" s="8"/>
    </row>
    <row r="163" spans="25:28" ht="14.25" customHeight="1">
      <c r="Y163" s="1"/>
      <c r="Z163" s="1"/>
      <c r="AA163" s="1"/>
      <c r="AB163" s="8"/>
    </row>
    <row r="164" spans="25:28" ht="14.25" customHeight="1">
      <c r="Y164" s="1"/>
      <c r="Z164" s="1"/>
      <c r="AA164" s="1"/>
      <c r="AB164" s="8"/>
    </row>
    <row r="165" spans="25:28" ht="15.6" customHeight="1">
      <c r="Y165" s="1"/>
      <c r="Z165" s="1"/>
      <c r="AA165" s="1"/>
      <c r="AB165" s="8"/>
    </row>
    <row r="166" spans="25:28" ht="14.25" customHeight="1">
      <c r="Y166" s="1"/>
      <c r="Z166" s="1"/>
      <c r="AA166" s="1"/>
      <c r="AB166" s="8"/>
    </row>
    <row r="167" spans="25:28" ht="14.25" customHeight="1">
      <c r="Y167" s="1"/>
      <c r="Z167" s="1"/>
      <c r="AA167" s="1"/>
      <c r="AB167" s="8"/>
    </row>
    <row r="168" spans="25:28" ht="14.25" customHeight="1">
      <c r="Y168" s="1"/>
      <c r="Z168" s="1"/>
      <c r="AA168" s="1"/>
      <c r="AB168" s="8"/>
    </row>
    <row r="169" spans="25:28" ht="14.25" customHeight="1">
      <c r="Y169" s="1"/>
      <c r="Z169" s="1"/>
      <c r="AA169" s="1"/>
      <c r="AB169" s="8"/>
    </row>
    <row r="170" spans="25:28" ht="14.25" customHeight="1"/>
    <row r="171" spans="25:28" ht="14.25" customHeight="1"/>
    <row r="172" spans="25:28" ht="14.25" customHeight="1"/>
    <row r="173" spans="25:28" ht="14.25" customHeight="1"/>
    <row r="174" spans="25:28" ht="14.25" customHeight="1"/>
    <row r="175" spans="25:28" ht="14.25" customHeight="1"/>
    <row r="176" spans="25:28" ht="14.25" customHeight="1"/>
    <row r="177" ht="14.45" customHeight="1"/>
    <row r="178" ht="14.25" customHeight="1"/>
    <row r="179" ht="14.25" customHeight="1"/>
    <row r="180" ht="14.25" customHeight="1"/>
    <row r="181" ht="14.25" customHeight="1"/>
    <row r="182" ht="14.25" customHeight="1"/>
    <row r="183" ht="14.25" customHeight="1"/>
    <row r="184" ht="14.25" customHeight="1"/>
    <row r="187" ht="17.45" customHeight="1"/>
    <row r="188" ht="14.25" customHeight="1"/>
    <row r="189" ht="14.25" customHeight="1"/>
    <row r="190" ht="14.25" customHeight="1"/>
    <row r="191" ht="14.25" customHeight="1"/>
    <row r="192" ht="14.25" customHeight="1"/>
    <row r="193" ht="14.25" customHeight="1"/>
    <row r="194" ht="14.25" customHeight="1"/>
    <row r="195" ht="14.25" customHeight="1"/>
    <row r="196" ht="16.5" customHeight="1"/>
  </sheetData>
  <mergeCells count="10">
    <mergeCell ref="A109:X109"/>
    <mergeCell ref="A136:X136"/>
    <mergeCell ref="D4:E4"/>
    <mergeCell ref="D5:E5"/>
    <mergeCell ref="A6:G6"/>
    <mergeCell ref="H6:J6"/>
    <mergeCell ref="K6:M6"/>
    <mergeCell ref="N6:T6"/>
    <mergeCell ref="U6:X6"/>
    <mergeCell ref="A8:X8"/>
  </mergeCells>
  <phoneticPr fontId="25" type="noConversion"/>
  <dataValidations count="5">
    <dataValidation type="list" allowBlank="1" sqref="I89 Q113:Q114 Q147" xr:uid="{00000000-0002-0000-0400-000000000000}">
      <formula1>"Pipeline,Vehicle Fuel,Both,Unknown,Other"</formula1>
    </dataValidation>
    <dataValidation type="list" allowBlank="1" sqref="Q65 T150 Q148 Q116:Q117 Q134:R134 Q138 Q140:Q141 Q146 Q81 R96 P111:Q111 Q60 R85 Q41 Q10 Q75 Q17 Q98:Q101 Q129:Q135 Q44:Q45 R128 Q14:Q15 P14 R100" xr:uid="{00000000-0002-0000-0400-000001000000}">
      <formula1>"Vehicle fuel,Pipeline,Both,Other,Unknown"</formula1>
    </dataValidation>
    <dataValidation allowBlank="1" showErrorMessage="1" sqref="C77 R41 C70:C71 R119" xr:uid="{00000000-0002-0000-0400-000002000000}"/>
    <dataValidation allowBlank="1" sqref="Q104 Q106:Q107" xr:uid="{00000000-0002-0000-0400-000003000000}"/>
    <dataValidation type="list" allowBlank="1" showErrorMessage="1" sqref="Q105 Q55:Q59 Q102:Q103 Q61:Q74 Q19:Q20 Q9 Q76:Q80 Q108 Q11 Q82:Q84 B111:B115 Q13:Q16 Q97 Q42:Q43 Q46:Q53 C65 C38 C72:C74 C60 Q24:Q33 Q121 Q35:Q40 B120:B135" xr:uid="{00000000-0002-0000-0400-000004000000}">
      <formula1>#REF!</formula1>
    </dataValidation>
  </dataValidations>
  <hyperlinks>
    <hyperlink ref="X19" r:id="rId1" display="https://www.globenewswire.com/news-release/2019/09/05/1911345/0/en/SCS-Energy-Breaks-Ground-on-Indy-Landfill-Gas-to-RNG-Plant.html_x000a_https://www.wishtv.com/news/inside-indiana-business/ribbon-cutting-set-for-indy-rng-plant/_x000a__x000a_https://www.wfyi.org/news/articl" xr:uid="{00000000-0004-0000-0400-000000000000}"/>
    <hyperlink ref="H48" r:id="rId2" xr:uid="{00000000-0004-0000-0400-000001000000}"/>
    <hyperlink ref="X57" r:id="rId3" xr:uid="{00000000-0004-0000-0400-000002000000}"/>
    <hyperlink ref="X95" r:id="rId4" xr:uid="{00000000-0004-0000-0400-000004000000}"/>
    <hyperlink ref="X128" r:id="rId5" display="https://www.wmsolutions.com/locations/details/id/93   https://www.wmsolutions.com/pdf-tracker/index/id/23/campaignType/28   https://www.ugicorp.com/news-releases/news-release-details/ugi-utilities-signs-first-agreement-bring-significant-renewable" xr:uid="{00000000-0004-0000-0400-00000A000000}"/>
    <hyperlink ref="X134" r:id="rId6" xr:uid="{00000000-0004-0000-0400-00000B000000}"/>
    <hyperlink ref="X140" r:id="rId7" xr:uid="{00000000-0004-0000-0400-00000C000000}"/>
    <hyperlink ref="X113" r:id="rId8" display="https://www.wmsolutions.com/pdf/factsheet/Simi_Valley_Landfill.pdf" xr:uid="{00000000-0004-0000-0400-00000D000000}"/>
    <hyperlink ref="X141" r:id="rId9" xr:uid="{00000000-0004-0000-0400-00000E000000}"/>
    <hyperlink ref="X142" r:id="rId10" location="stream/0" xr:uid="{00000000-0004-0000-0400-00000F000000}"/>
    <hyperlink ref="X146" r:id="rId11" xr:uid="{00000000-0004-0000-0400-000010000000}"/>
    <hyperlink ref="X129" r:id="rId12" xr:uid="{00000000-0004-0000-0400-000011000000}"/>
    <hyperlink ref="X125" r:id="rId13" xr:uid="{00000000-0004-0000-0400-000013000000}"/>
    <hyperlink ref="X144" r:id="rId14" display="http://cambrianenergy.com/  http://www.northjersey.com/story/news/bergen/2016/09/29/methane-gas-collection-to-begin-again-at-1e-landfill/93030232/   http://www.savannahenergyllc.com/ https://www.epa.gov/sites/production/files/2017-07/underconsplannedlmopdata.xlsx  http://www.lowersaucontownship.org/lfminutes/tcc.3rdquarter2020.pdf" xr:uid="{00000000-0004-0000-0400-000014000000}"/>
    <hyperlink ref="X119" r:id="rId15" display="https://www.archaeaenergy.com/projects" xr:uid="{00000000-0004-0000-0400-000017000000}"/>
    <hyperlink ref="X12" r:id="rId16" location=":~:text=The%20project%2C%20formally%20known%20as,Energy%2C%20a%20Fortistar%20portfolio%20company.,   https://www.epa.gov/sites/production/files/2019-05/documents/full-rfp_18-01_nrrl_lfg-to-cng.pdf , https://www.naturalgasintel.com/fortistar-partnering-on-florida-rng-project-to-fuel-ngvs/   https://www.environmentalleader.com/2020/12/florida-first-construction-begins-on-facility-that-will-convert-landfill-methane-to-renewable-natural-gas/ https://nrswa.org/new-river-rng-project/" display="https://nrswa.org/new-river-rng-project/#:~:text=The%20project%2C%20formally%20known%20as,Energy%2C%20a%20Fortistar%20portfolio%20company.,   https://www.epa.gov/sites/production/files/2019-05/documents/full-rfp_18-01_nrrl_lfg-to-cng.pdf , https://www.naturalgasintel.com/fortistar-partnering-on-florida-rng-project-to-fuel-ngvs/   https://www.environmentalleader.com/2020/12/florida-first-construction-begins-on-facility-that-will-convert-landfill-methane-to-renewable-natural-gas/ https://nrswa.org/new-river-rng-project/" xr:uid="{00000000-0004-0000-0400-00001A000000}"/>
    <hyperlink ref="X102" r:id="rId17" xr:uid="{00000000-0004-0000-0400-00001C000000}"/>
    <hyperlink ref="X93" r:id="rId18" xr:uid="{00000000-0004-0000-0400-00001D000000}"/>
    <hyperlink ref="X96" r:id="rId19" display="https://wastebits.com/locator/location/tessman-road-landfill  https://ofmpub.epa.gov/frs_public2/fii_query_detail.disp_program_facility?p_registry_id=110002371781   https://sanantonioreport.org/waste-gas-from-landfill-will-offset-up-to-75-of-vias-bus-fuel-demand/" xr:uid="{00000000-0004-0000-0400-00001E000000}"/>
    <hyperlink ref="X28" r:id="rId20" display="https://www.wmsolutions.com/locations/details/id/145   http://www.courier-journal.com/story/tech/science/environment/2017/02/09/louisville-landfill-capture-sell-its-methane/97656292/  https://www.bizjournals.com/louisville/news/2018/06/05/waste-management-makes-a-power-play-with-30.html" xr:uid="{00000000-0004-0000-0400-00001F000000}"/>
    <hyperlink ref="X56" r:id="rId21" display="https://www.businesswire.com/news/home/20200917005237/en/New-Ohio-based-Renewable-Fuel-Project-Aims-to-Capture-the-Equivalent-of-Nearly-50K-Tons-of-Carbon-to-Displace-Diesel-and-Fuel-725-Biofuel-Trucks https://www.nsenergybusiness.com/news/fortistar-rumpke-to-begin-noble-road-landfill-rng-project-in-ohio/" xr:uid="{00000000-0004-0000-0400-000020000000}"/>
    <hyperlink ref="X30" r:id="rId22" xr:uid="{00000000-0004-0000-0400-000023000000}"/>
    <hyperlink ref="X47" r:id="rId23" xr:uid="{00000000-0004-0000-0400-000024000000}"/>
    <hyperlink ref="X66" r:id="rId24" display="http://www.edf-re.com/project/imperial-landfill-biogas/   http://site.republicservices.com/corporate/planet/renewableenergy/landfill-gas-energy.aspx  https://www.businesswire.com/news/home/20190402005372/en/Fortistar-Acquires-Two-Renewable-Natural-Gas-RNG-Facilities-in-Pennsylvania" xr:uid="{00000000-0004-0000-0400-000025000000}"/>
    <hyperlink ref="X87" r:id="rId25" xr:uid="{9DDB5313-8B56-CC4E-A07C-32307BF64A6B}"/>
    <hyperlink ref="X118" r:id="rId26" display="https://www.airliquide.com/group/press-releases-news/2022-02-03/air-liquide-build-usa-its-largest-biomethane-production-unit-world" xr:uid="{497B8E3D-9BED-5145-8049-E5A15FDB7D15}"/>
    <hyperlink ref="X107" r:id="rId27" display="https://www.postcrescent.com/story/news/local/2021/02/22/mas-energy-build-25-million-power-plant-outagamie-county-landfill/6752686002/   https://dnr.wi.gov/sotw/GetShwimsActivityDetail.do?sid=11292000&amp;ac=022&amp;lic=14914&amp;crumb=0" xr:uid="{19D191F0-B61C-104E-A4DE-40CE25734D5B}"/>
    <hyperlink ref="X54" r:id="rId28" xr:uid="{D83ED2D5-61AF-BB4B-ADB2-1F3F92F64870}"/>
    <hyperlink ref="X115" r:id="rId29" display="https://wcfcourier.com/news/local/black-hawk-county-landfill-renewable-gas/article_5618b486-36df-11ee-94f7-23487b951524.html" xr:uid="{09A6805E-84AE-E744-A292-90FACADEBFA3}"/>
    <hyperlink ref="X116" r:id="rId30" display="https://www.icthomasson.com/markets/projects/process-crowder-renewable-natural-gas-landfill-projects" xr:uid="{434E18DF-9F09-F143-8F52-7F0865967027}"/>
    <hyperlink ref="X18" r:id="rId31" display="https://www.wmsolutions.com/pdf-tracker/index/id/63/campaignType/28" xr:uid="{4A7D4632-6D4E-D648-83E4-C650A719DCC7}"/>
    <hyperlink ref="X40" r:id="rId32" xr:uid="{B0270012-C91D-D645-9824-829965EF0A19}"/>
    <hyperlink ref="X121" r:id="rId33" display="https://www.wastetodaymagazine.com/news/gfl-opal-fuels-arbor-hills-michigan-landfill-rng-facility-opening/" xr:uid="{139E154A-D1DE-B34A-8905-79E879B4653E}"/>
    <hyperlink ref="X44" r:id="rId34" display="http://edocs.deq.nc.gov/WasteManagement/0/edoc/1215656/1403_INSP_20180627.pdf  https://files.nc.gov/ncdeq/Air%20Quality/permits/2019_public_notice_documents/permit_reviews/20190520_Republic_rev.pdf" xr:uid="{C267F060-FFF2-6248-B9A0-3C3E1E42C109}"/>
    <hyperlink ref="X132" r:id="rId35" location=":~:text=“RNG%20is%20an%20ultra%2Dlow,to%20heat%20homes%20and%20businesses.”" display="https://www.kenbridgevictoriadispatch.com/2023/02/16/lunenburg-landfill-turns-trash-into-clean-energy/#:~:text=“RNG%20is%20an%20ultra%2Dlow,to%20heat%20homes%20and%20businesses.”" xr:uid="{C3D86BB4-1FA8-3C43-8FE8-1200708CD78B}"/>
    <hyperlink ref="X131" r:id="rId36" display="https://neabsconews.org/2023/01/25/renewable-natural-gas-project-at-county-landfill/" xr:uid="{9CBA5B1E-B022-2947-A139-F481F424E12B}"/>
    <hyperlink ref="X106" r:id="rId37" xr:uid="{E7271CA9-2B09-804E-835D-C3638B967604}"/>
    <hyperlink ref="X117" r:id="rId38" display="https://naturalheritage.illinois.gov/content/dam/soi/en/web/naturalheritage/permits/documents/ita-conservation-plans/conservation-plans/267-cp.pdf" xr:uid="{B17472C5-19E6-9C42-9B46-FAF4AD7A1070}"/>
    <hyperlink ref="X123" r:id="rId39" display="https://investors.opalfuels.com/news-releases/news-release-details/south-jersey-industries-and-opal-fuels-announce-signing" xr:uid="{3575FA01-C743-C34C-8769-1F423832639F}"/>
    <hyperlink ref="X114" r:id="rId40" display="https://www.sec.gov//Archives/edgar/data/1842279/000184227923000090/opalfuelsq32023earningsrel.htm" xr:uid="{224583F7-1016-B343-A668-75099A0B20EB}"/>
    <hyperlink ref="X15" r:id="rId41" display="https://www.opinion-tribune.com/news/mills-county-landfill-gas-being-processed-renewable-energy" xr:uid="{8F4CDDC3-8F3D-7E44-A818-4842DF81F1B4}"/>
    <hyperlink ref="X101" r:id="rId42" display="https://www.suffolknewsherald.com/2023/10/25/spsa-terreva-celebrates-new-renewable-gas-facility/" xr:uid="{A6758F34-4889-7E46-A017-ADEDB3E17A81}"/>
    <hyperlink ref="X27" r:id="rId43" display="https://www.wastetodaymagazine.com/news/ameresco-landfill-gas-to-rng-plant-starts-operations-at-republic-landfill/" xr:uid="{2B0241C5-27D7-3144-825B-5BA4242E2E6A}"/>
    <hyperlink ref="X120" r:id="rId44" display="https://www.kindermorgan.com/ETV/KM-RNG/Leaders-in-RNG-Development/Renewable-Gas-Assets" xr:uid="{F5DC01BD-2323-BA4B-A546-C3563BB89084}"/>
    <hyperlink ref="X100" r:id="rId45" display="https://www.chesterfieldobserver.com/articles/proposed-biogas-facility-at-shoosmith-landfill-promises-to-cut-the-smell-and-the-carbon-footprint/" xr:uid="{91F56127-4443-CE44-BECE-0D3716D4D198}"/>
    <hyperlink ref="X99" r:id="rId46" xr:uid="{C6E7E02B-1E44-E742-8F5B-3C8493B91197}"/>
    <hyperlink ref="X124" r:id="rId47" display="https://waga-energy.com/en/key-component-of-rng-production-plant-delivered-to-steuben-county-landfill/_x000a_" xr:uid="{FBF43320-79DC-134C-82F1-CF50C4699631}"/>
  </hyperlinks>
  <pageMargins left="0.7" right="0.7" top="0.75" bottom="0.75" header="0" footer="0"/>
  <pageSetup orientation="portrait" r:id="rId48"/>
  <legacyDrawing r:id="rId49"/>
  <extLst>
    <ext xmlns:x14="http://schemas.microsoft.com/office/spreadsheetml/2009/9/main" uri="{CCE6A557-97BC-4b89-ADB6-D9C93CAAB3DF}">
      <x14:dataValidations xmlns:xm="http://schemas.microsoft.com/office/excel/2006/main" count="7">
        <x14:dataValidation type="list" allowBlank="1" showErrorMessage="1" xr:uid="{00000000-0002-0000-0400-000007000000}">
          <x14:formula1>
            <xm:f>'List Values'!$A$23:$A$26</xm:f>
          </x14:formula1>
          <xm:sqref>Q86:Q95</xm:sqref>
        </x14:dataValidation>
        <x14:dataValidation type="list" allowBlank="1" showErrorMessage="1" xr:uid="{00000000-0002-0000-0400-000008000000}">
          <x14:formula1>
            <xm:f>'List Values'!$A$11:$A$20</xm:f>
          </x14:formula1>
          <xm:sqref>B45 B34 B41 B12 B17 B126 B134 B110 B100 B116:B119 B124 B128:B129</xm:sqref>
        </x14:dataValidation>
        <x14:dataValidation type="list" allowBlank="1" xr:uid="{00000000-0002-0000-0400-000009000000}">
          <x14:formula1>
            <xm:f>'List Values'!$A$2:$A$8</xm:f>
          </x14:formula1>
          <xm:sqref>P87:P88 P12</xm:sqref>
        </x14:dataValidation>
        <x14:dataValidation type="list" allowBlank="1" showErrorMessage="1" xr:uid="{00000000-0002-0000-0400-00000A000000}">
          <x14:formula1>
            <xm:f>'List Values'!$A$2:$A$8</xm:f>
          </x14:formula1>
          <xm:sqref>R117 P55:P86 P89:P95 P110:P117 P137:P148 P35:P53 P9:P33 P97:P108 P119:P135 R119</xm:sqref>
        </x14:dataValidation>
        <x14:dataValidation type="list" allowBlank="1" showInputMessage="1" showErrorMessage="1" xr:uid="{00000000-0002-0000-0400-00000B000000}">
          <x14:formula1>
            <xm:f>'List Values'!$A$2:$A$8</xm:f>
          </x14:formula1>
          <xm:sqref>P34 P45 P118:P119 P54 P124</xm:sqref>
        </x14:dataValidation>
        <x14:dataValidation type="list" allowBlank="1" showInputMessage="1" showErrorMessage="1" xr:uid="{00000000-0002-0000-0400-00000C000000}">
          <x14:formula1>
            <xm:f>'List Values'!$A$11:$A$20</xm:f>
          </x14:formula1>
          <xm:sqref>B9:B11 B113:B114 B120:B121 B117 B137:B148 B13:B16 B35:B40 B18:B33 B42:B108</xm:sqref>
        </x14:dataValidation>
        <x14:dataValidation type="list" allowBlank="1" xr:uid="{00000000-0002-0000-0400-00000D000000}">
          <x14:formula1>
            <xm:f>'List Values'!$A$23:$A$26</xm:f>
          </x14:formula1>
          <xm:sqref>Q12 Q112:Q115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8D08D"/>
  </sheetPr>
  <dimension ref="A1:AB346"/>
  <sheetViews>
    <sheetView zoomScale="90" zoomScaleNormal="90" workbookViewId="0">
      <pane ySplit="8" topLeftCell="A240" activePane="bottomLeft" state="frozen"/>
      <selection pane="bottomLeft" activeCell="AA271" sqref="AA271"/>
    </sheetView>
  </sheetViews>
  <sheetFormatPr defaultColWidth="12.625" defaultRowHeight="15" customHeight="1"/>
  <cols>
    <col min="1" max="1" width="18.625" style="303" customWidth="1"/>
    <col min="2" max="2" width="10.75" style="750" customWidth="1"/>
    <col min="3" max="3" width="5.25" style="302" customWidth="1"/>
    <col min="4" max="4" width="7.875" style="302" customWidth="1"/>
    <col min="5" max="5" width="4.625" style="302" customWidth="1"/>
    <col min="6" max="7" width="10.375" style="302" customWidth="1"/>
    <col min="8" max="8" width="18.5" style="302" customWidth="1"/>
    <col min="9" max="9" width="9.625" style="302" customWidth="1"/>
    <col min="10" max="10" width="9" style="302" customWidth="1"/>
    <col min="11" max="11" width="57.375" style="302" customWidth="1"/>
    <col min="12" max="12" width="7.75" style="302" customWidth="1"/>
    <col min="13" max="13" width="8.75" style="750" customWidth="1"/>
    <col min="14" max="14" width="8" style="750" customWidth="1"/>
    <col min="15" max="15" width="8.875" style="750" customWidth="1"/>
    <col min="16" max="16" width="8.125" style="821" customWidth="1"/>
    <col min="17" max="17" width="9.625" style="302" customWidth="1"/>
    <col min="18" max="18" width="6.5" style="302" customWidth="1"/>
    <col min="19" max="19" width="7" style="302" customWidth="1"/>
    <col min="20" max="20" width="7.625" style="302" customWidth="1"/>
    <col min="21" max="21" width="7.75" style="302" customWidth="1"/>
    <col min="22" max="22" width="10.375" style="302" customWidth="1"/>
    <col min="23" max="23" width="7.75" style="302" customWidth="1"/>
    <col min="24" max="24" width="9.25" style="302" customWidth="1"/>
    <col min="25" max="25" width="7.375" style="302" customWidth="1"/>
    <col min="26" max="26" width="3.625" style="302" customWidth="1"/>
    <col min="27" max="27" width="8.625" style="302" customWidth="1"/>
    <col min="28" max="28" width="43.5" style="302" customWidth="1"/>
    <col min="29" max="48" width="24.625" style="302" customWidth="1"/>
    <col min="49" max="16384" width="12.625" style="302"/>
  </cols>
  <sheetData>
    <row r="1" spans="1:28" ht="20.45" customHeight="1">
      <c r="A1" s="1327" t="s">
        <v>1</v>
      </c>
      <c r="B1" s="1303" t="s">
        <v>2680</v>
      </c>
      <c r="C1" s="1305"/>
      <c r="D1" s="1317"/>
      <c r="E1" s="1318"/>
      <c r="F1" s="1524"/>
      <c r="G1" s="1525"/>
      <c r="H1" s="829" t="s">
        <v>2933</v>
      </c>
      <c r="I1" s="1"/>
      <c r="J1" s="1"/>
      <c r="K1" s="1"/>
      <c r="L1" s="1"/>
      <c r="M1" s="231"/>
      <c r="N1" s="231"/>
      <c r="O1" s="231"/>
      <c r="P1" s="8"/>
      <c r="Q1" s="1"/>
      <c r="R1" s="65"/>
      <c r="S1" s="1"/>
      <c r="T1" s="1"/>
      <c r="U1" s="1"/>
      <c r="V1" s="1"/>
      <c r="W1" s="1"/>
      <c r="X1" s="1"/>
      <c r="Y1" s="1"/>
      <c r="Z1" s="1"/>
      <c r="AA1" s="1"/>
      <c r="AB1" s="1"/>
    </row>
    <row r="2" spans="1:28" ht="18" customHeight="1">
      <c r="A2" s="232"/>
      <c r="B2" s="1526" t="s">
        <v>4</v>
      </c>
      <c r="C2" s="1527"/>
      <c r="D2" s="1527"/>
      <c r="E2" s="1527"/>
      <c r="F2" s="1527"/>
      <c r="G2" s="1528"/>
      <c r="H2" s="829" t="s">
        <v>3</v>
      </c>
      <c r="I2" s="1"/>
      <c r="J2" s="1"/>
      <c r="K2" s="1"/>
      <c r="L2" s="1"/>
      <c r="M2" s="231"/>
      <c r="N2" s="231"/>
      <c r="O2" s="231"/>
      <c r="P2" s="8"/>
      <c r="Q2" s="1"/>
      <c r="R2" s="65"/>
      <c r="S2" s="1"/>
      <c r="T2" s="1"/>
      <c r="U2" s="1"/>
      <c r="V2" s="1"/>
      <c r="W2" s="1"/>
      <c r="X2" s="1"/>
      <c r="Y2" s="1"/>
      <c r="Z2" s="1"/>
      <c r="AA2" s="1"/>
      <c r="AB2" s="1"/>
    </row>
    <row r="3" spans="1:28" ht="15.95" customHeight="1">
      <c r="A3" s="232"/>
      <c r="B3" s="1529" t="s">
        <v>2</v>
      </c>
      <c r="C3" s="1530"/>
      <c r="D3" s="1530"/>
      <c r="E3" s="1530"/>
      <c r="F3" s="1530"/>
      <c r="G3" s="1531"/>
      <c r="H3" s="1"/>
      <c r="I3" s="1"/>
      <c r="J3" s="1"/>
      <c r="K3" s="1"/>
      <c r="L3" s="78"/>
      <c r="M3" s="231"/>
      <c r="N3" s="1215"/>
      <c r="O3" s="231"/>
      <c r="P3" s="962"/>
      <c r="Q3" s="78"/>
      <c r="R3" s="65"/>
      <c r="S3" s="1"/>
      <c r="T3" s="1"/>
      <c r="U3" s="1"/>
      <c r="V3" s="1"/>
      <c r="W3" s="1"/>
      <c r="X3" s="1"/>
      <c r="Y3" s="1"/>
      <c r="Z3" s="1"/>
      <c r="AA3" s="1"/>
      <c r="AB3" s="1"/>
    </row>
    <row r="4" spans="1:28" ht="15" customHeight="1">
      <c r="A4" s="232"/>
      <c r="B4" s="1532" t="s">
        <v>902</v>
      </c>
      <c r="C4" s="1533"/>
      <c r="D4" s="1533"/>
      <c r="E4" s="1533"/>
      <c r="F4" s="1533"/>
      <c r="G4" s="1534"/>
      <c r="H4" s="1"/>
      <c r="I4" s="1"/>
      <c r="J4" s="79"/>
      <c r="K4" s="1"/>
      <c r="L4" s="1"/>
      <c r="M4" s="231"/>
      <c r="N4" s="231"/>
      <c r="O4" s="772"/>
      <c r="P4" s="8"/>
      <c r="Q4" s="1"/>
      <c r="R4" s="65"/>
      <c r="S4" s="1"/>
      <c r="T4" s="1"/>
      <c r="U4" s="1"/>
      <c r="V4" s="1"/>
      <c r="W4" s="1"/>
      <c r="X4" s="1"/>
      <c r="Y4" s="1"/>
      <c r="Z4" s="1"/>
      <c r="AA4" s="1"/>
      <c r="AB4" s="1"/>
    </row>
    <row r="5" spans="1:28" ht="15" customHeight="1">
      <c r="A5" s="232"/>
      <c r="B5" s="1518" t="s">
        <v>3156</v>
      </c>
      <c r="C5" s="1519"/>
      <c r="D5" s="1519"/>
      <c r="E5" s="1519"/>
      <c r="F5" s="1519"/>
      <c r="G5" s="1520"/>
      <c r="H5" s="1"/>
      <c r="I5" s="1"/>
      <c r="J5" s="1"/>
      <c r="K5" s="1"/>
      <c r="L5" s="79"/>
      <c r="M5" s="231"/>
      <c r="N5" s="772"/>
      <c r="O5" s="773"/>
      <c r="P5" s="8"/>
      <c r="Q5" s="1"/>
      <c r="R5" s="65"/>
      <c r="S5" s="1"/>
      <c r="T5" s="1"/>
      <c r="U5" s="1"/>
      <c r="V5" s="1"/>
      <c r="W5" s="1"/>
      <c r="X5" s="1"/>
      <c r="Y5" s="1"/>
      <c r="Z5" s="1"/>
      <c r="AA5" s="1"/>
      <c r="AB5" s="1"/>
    </row>
    <row r="6" spans="1:28" ht="18.95" customHeight="1">
      <c r="A6" s="232"/>
      <c r="B6" s="1214"/>
      <c r="C6" s="251"/>
      <c r="D6" s="251"/>
      <c r="E6" s="251"/>
      <c r="F6" s="251"/>
      <c r="G6" s="251"/>
      <c r="H6" s="1"/>
      <c r="I6" s="1"/>
      <c r="J6" s="1"/>
      <c r="K6" s="1"/>
      <c r="L6" s="1"/>
      <c r="M6" s="231"/>
      <c r="N6" s="231"/>
      <c r="O6" s="231"/>
      <c r="P6" s="8"/>
      <c r="Q6" s="1"/>
      <c r="R6" s="65"/>
      <c r="S6" s="1"/>
      <c r="T6" s="1"/>
      <c r="U6" s="1"/>
      <c r="V6" s="1"/>
      <c r="W6" s="1"/>
      <c r="X6" s="1"/>
      <c r="Y6" s="1"/>
      <c r="Z6" s="1"/>
      <c r="AA6" s="1"/>
      <c r="AB6" s="1"/>
    </row>
    <row r="7" spans="1:28" ht="20.100000000000001" customHeight="1">
      <c r="A7" s="1535" t="s">
        <v>3149</v>
      </c>
      <c r="B7" s="1536"/>
      <c r="C7" s="1536"/>
      <c r="D7" s="1536"/>
      <c r="E7" s="1536"/>
      <c r="F7" s="1537" t="s">
        <v>6</v>
      </c>
      <c r="G7" s="1538"/>
      <c r="H7" s="1538"/>
      <c r="I7" s="1538"/>
      <c r="J7" s="1538"/>
      <c r="K7" s="1539"/>
      <c r="L7" s="1540" t="s">
        <v>7</v>
      </c>
      <c r="M7" s="1540"/>
      <c r="N7" s="1540"/>
      <c r="O7" s="1540" t="s">
        <v>8</v>
      </c>
      <c r="P7" s="1540"/>
      <c r="Q7" s="1540"/>
      <c r="R7" s="1540"/>
      <c r="S7" s="1540"/>
      <c r="T7" s="1540"/>
      <c r="U7" s="1540"/>
      <c r="V7" s="1537" t="s">
        <v>366</v>
      </c>
      <c r="W7" s="1538"/>
      <c r="X7" s="1538"/>
      <c r="Y7" s="1538"/>
      <c r="Z7" s="1538"/>
      <c r="AA7" s="1538"/>
      <c r="AB7" s="1539"/>
    </row>
    <row r="8" spans="1:28" ht="51.95" customHeight="1">
      <c r="A8" s="487" t="s">
        <v>903</v>
      </c>
      <c r="B8" s="675" t="s">
        <v>2690</v>
      </c>
      <c r="C8" s="675" t="s">
        <v>904</v>
      </c>
      <c r="D8" s="675" t="s">
        <v>905</v>
      </c>
      <c r="E8" s="675" t="s">
        <v>13</v>
      </c>
      <c r="F8" s="675" t="s">
        <v>14</v>
      </c>
      <c r="G8" s="675" t="s">
        <v>3151</v>
      </c>
      <c r="H8" s="675" t="s">
        <v>2937</v>
      </c>
      <c r="I8" s="675" t="s">
        <v>16</v>
      </c>
      <c r="J8" s="675" t="s">
        <v>906</v>
      </c>
      <c r="K8" s="675" t="s">
        <v>15</v>
      </c>
      <c r="L8" s="675" t="s">
        <v>907</v>
      </c>
      <c r="M8" s="675" t="s">
        <v>908</v>
      </c>
      <c r="N8" s="675" t="s">
        <v>909</v>
      </c>
      <c r="O8" s="675" t="s">
        <v>910</v>
      </c>
      <c r="P8" s="675" t="s">
        <v>911</v>
      </c>
      <c r="Q8" s="675" t="s">
        <v>2942</v>
      </c>
      <c r="R8" s="675" t="s">
        <v>3148</v>
      </c>
      <c r="S8" s="675" t="s">
        <v>380</v>
      </c>
      <c r="T8" s="675" t="s">
        <v>381</v>
      </c>
      <c r="U8" s="675" t="s">
        <v>382</v>
      </c>
      <c r="V8" s="675" t="s">
        <v>912</v>
      </c>
      <c r="W8" s="675" t="s">
        <v>3158</v>
      </c>
      <c r="X8" s="675" t="s">
        <v>913</v>
      </c>
      <c r="Y8" s="675" t="s">
        <v>914</v>
      </c>
      <c r="Z8" s="675"/>
      <c r="AA8" s="675" t="s">
        <v>2936</v>
      </c>
      <c r="AB8" s="1243" t="s">
        <v>2935</v>
      </c>
    </row>
    <row r="9" spans="1:28" ht="20.100000000000001" customHeight="1">
      <c r="A9" s="1521" t="s">
        <v>2867</v>
      </c>
      <c r="B9" s="1522"/>
      <c r="C9" s="1522"/>
      <c r="D9" s="1522"/>
      <c r="E9" s="1522"/>
      <c r="F9" s="1522"/>
      <c r="G9" s="1522"/>
      <c r="H9" s="1522"/>
      <c r="I9" s="1522"/>
      <c r="J9" s="1522"/>
      <c r="K9" s="1522"/>
      <c r="L9" s="1522"/>
      <c r="M9" s="1522"/>
      <c r="N9" s="1522"/>
      <c r="O9" s="1522"/>
      <c r="P9" s="1522"/>
      <c r="Q9" s="1522"/>
      <c r="R9" s="1522"/>
      <c r="S9" s="1522"/>
      <c r="T9" s="1522"/>
      <c r="U9" s="1522"/>
      <c r="V9" s="1522"/>
      <c r="W9" s="1522"/>
      <c r="X9" s="1522"/>
      <c r="Y9" s="1522"/>
      <c r="Z9" s="1522"/>
      <c r="AA9" s="1522"/>
      <c r="AB9" s="1523"/>
    </row>
    <row r="10" spans="1:28" ht="39" customHeight="1">
      <c r="A10" s="484" t="s">
        <v>1301</v>
      </c>
      <c r="B10" s="287" t="s">
        <v>33</v>
      </c>
      <c r="C10" s="528" t="s">
        <v>1026</v>
      </c>
      <c r="D10" s="531" t="s">
        <v>1292</v>
      </c>
      <c r="E10" s="797" t="s">
        <v>918</v>
      </c>
      <c r="F10" s="372" t="s">
        <v>2705</v>
      </c>
      <c r="G10" s="1219" t="s">
        <v>2704</v>
      </c>
      <c r="H10" s="372" t="s">
        <v>1303</v>
      </c>
      <c r="I10" s="1220" t="s">
        <v>1012</v>
      </c>
      <c r="J10" s="528"/>
      <c r="K10" s="266" t="s">
        <v>2709</v>
      </c>
      <c r="L10" s="928">
        <v>25000</v>
      </c>
      <c r="M10" s="372" t="s">
        <v>1304</v>
      </c>
      <c r="N10" s="1244"/>
      <c r="O10" s="1245"/>
      <c r="P10" s="1246">
        <v>300000</v>
      </c>
      <c r="Q10" s="517" t="s">
        <v>85</v>
      </c>
      <c r="R10" s="529"/>
      <c r="S10" s="260">
        <f>P10/0.112194</f>
        <v>2673939.7828760897</v>
      </c>
      <c r="T10" s="526"/>
      <c r="U10" s="530"/>
      <c r="V10" s="529"/>
      <c r="W10" s="526"/>
      <c r="X10" s="526"/>
      <c r="Y10" s="526"/>
      <c r="Z10" s="372"/>
      <c r="AA10" s="528"/>
      <c r="AB10" s="609" t="s">
        <v>2706</v>
      </c>
    </row>
    <row r="11" spans="1:28" ht="42" customHeight="1">
      <c r="A11" s="484" t="s">
        <v>1305</v>
      </c>
      <c r="B11" s="287" t="s">
        <v>33</v>
      </c>
      <c r="C11" s="531" t="s">
        <v>916</v>
      </c>
      <c r="D11" s="531" t="s">
        <v>1292</v>
      </c>
      <c r="E11" s="798" t="s">
        <v>918</v>
      </c>
      <c r="F11" s="372" t="s">
        <v>2705</v>
      </c>
      <c r="G11" s="1247">
        <v>45015</v>
      </c>
      <c r="H11" s="372" t="s">
        <v>1303</v>
      </c>
      <c r="I11" s="1220" t="s">
        <v>1012</v>
      </c>
      <c r="J11" s="528"/>
      <c r="K11" s="266" t="s">
        <v>2708</v>
      </c>
      <c r="L11" s="928">
        <v>25000</v>
      </c>
      <c r="M11" s="372" t="s">
        <v>1304</v>
      </c>
      <c r="N11" s="528"/>
      <c r="O11" s="1248"/>
      <c r="P11" s="964">
        <v>375000</v>
      </c>
      <c r="Q11" s="532" t="s">
        <v>85</v>
      </c>
      <c r="R11" s="534"/>
      <c r="S11" s="260">
        <f>P11/0.112194</f>
        <v>3342424.728595112</v>
      </c>
      <c r="T11" s="527"/>
      <c r="U11" s="533"/>
      <c r="V11" s="534"/>
      <c r="W11" s="527"/>
      <c r="X11" s="527"/>
      <c r="Y11" s="527"/>
      <c r="Z11" s="272"/>
      <c r="AA11" s="531"/>
      <c r="AB11" s="609" t="s">
        <v>2707</v>
      </c>
    </row>
    <row r="12" spans="1:28" ht="72.75" customHeight="1">
      <c r="A12" s="313" t="s">
        <v>1291</v>
      </c>
      <c r="B12" s="313" t="s">
        <v>33</v>
      </c>
      <c r="C12" s="316" t="s">
        <v>916</v>
      </c>
      <c r="D12" s="472" t="s">
        <v>1292</v>
      </c>
      <c r="E12" s="473" t="s">
        <v>918</v>
      </c>
      <c r="F12" s="370" t="s">
        <v>1293</v>
      </c>
      <c r="G12" s="377" t="s">
        <v>547</v>
      </c>
      <c r="H12" s="309" t="s">
        <v>1294</v>
      </c>
      <c r="I12" s="239" t="s">
        <v>1295</v>
      </c>
      <c r="J12" s="316"/>
      <c r="K12" s="272" t="s">
        <v>1296</v>
      </c>
      <c r="L12" s="318">
        <v>14000</v>
      </c>
      <c r="M12" s="316"/>
      <c r="N12" s="278">
        <f>O12/0.6</f>
        <v>910757.99086757982</v>
      </c>
      <c r="O12" s="278">
        <f>P12/(0.001*365*0.9)</f>
        <v>546454.79452054785</v>
      </c>
      <c r="P12" s="278">
        <f>S12*0.112194</f>
        <v>179510.39999999999</v>
      </c>
      <c r="Q12" s="360" t="s">
        <v>85</v>
      </c>
      <c r="R12" s="366" t="s">
        <v>0</v>
      </c>
      <c r="S12" s="460">
        <v>1600000</v>
      </c>
      <c r="T12" s="474"/>
      <c r="U12" s="474"/>
      <c r="V12" s="885">
        <v>89794</v>
      </c>
      <c r="W12" s="239" t="s">
        <v>1297</v>
      </c>
      <c r="X12" s="474"/>
      <c r="Y12" s="316" t="s">
        <v>1298</v>
      </c>
      <c r="Z12" s="239"/>
      <c r="AA12" s="474"/>
      <c r="AB12" s="609" t="s">
        <v>1290</v>
      </c>
    </row>
    <row r="13" spans="1:28" ht="65.25" customHeight="1">
      <c r="A13" s="241" t="s">
        <v>915</v>
      </c>
      <c r="B13" s="419" t="s">
        <v>33</v>
      </c>
      <c r="C13" s="316" t="s">
        <v>916</v>
      </c>
      <c r="D13" s="476" t="s">
        <v>917</v>
      </c>
      <c r="E13" s="477" t="s">
        <v>918</v>
      </c>
      <c r="F13" s="367">
        <v>2018</v>
      </c>
      <c r="G13" s="478" t="s">
        <v>919</v>
      </c>
      <c r="H13" s="363" t="s">
        <v>920</v>
      </c>
      <c r="I13" s="1217"/>
      <c r="J13" s="364"/>
      <c r="K13" s="363" t="s">
        <v>921</v>
      </c>
      <c r="L13" s="764">
        <v>55000</v>
      </c>
      <c r="M13" s="364"/>
      <c r="N13" s="479"/>
      <c r="O13" s="347">
        <v>3600000</v>
      </c>
      <c r="P13" s="278">
        <f>O13*0.001*365*0.9</f>
        <v>1182600</v>
      </c>
      <c r="Q13" s="378" t="s">
        <v>85</v>
      </c>
      <c r="R13" s="490" t="s">
        <v>157</v>
      </c>
      <c r="S13" s="260">
        <f>P13/0.112194</f>
        <v>10540670.624097545</v>
      </c>
      <c r="T13" s="260">
        <f>S13/6*10</f>
        <v>17567784.373495907</v>
      </c>
      <c r="U13" s="364"/>
      <c r="V13" s="364"/>
      <c r="W13" s="364"/>
      <c r="X13" s="364"/>
      <c r="Y13" s="364"/>
      <c r="Z13" s="364"/>
      <c r="AA13" s="243" t="s">
        <v>30</v>
      </c>
      <c r="AB13" s="239" t="s">
        <v>2789</v>
      </c>
    </row>
    <row r="14" spans="1:28" ht="47.45" customHeight="1">
      <c r="A14" s="241" t="s">
        <v>2289</v>
      </c>
      <c r="B14" s="419" t="s">
        <v>33</v>
      </c>
      <c r="C14" s="239" t="s">
        <v>916</v>
      </c>
      <c r="D14" s="475" t="s">
        <v>252</v>
      </c>
      <c r="E14" s="480" t="s">
        <v>35</v>
      </c>
      <c r="F14" s="248"/>
      <c r="G14" s="239">
        <v>2020</v>
      </c>
      <c r="H14" s="239" t="s">
        <v>923</v>
      </c>
      <c r="I14" s="239"/>
      <c r="J14" s="239" t="s">
        <v>924</v>
      </c>
      <c r="K14" s="272" t="s">
        <v>925</v>
      </c>
      <c r="L14" s="885">
        <v>5000</v>
      </c>
      <c r="M14" s="239"/>
      <c r="N14" s="278">
        <f>O14/0.6</f>
        <v>298569.89302039269</v>
      </c>
      <c r="O14" s="278">
        <f>P14/(0.001*365*0.9)</f>
        <v>179141.93581223561</v>
      </c>
      <c r="P14" s="278">
        <f>S14*0.112194</f>
        <v>58848.125914319397</v>
      </c>
      <c r="Q14" s="241" t="s">
        <v>53</v>
      </c>
      <c r="R14" s="490" t="s">
        <v>157</v>
      </c>
      <c r="S14" s="460">
        <f>4572983/10*1.147</f>
        <v>524521.15009999997</v>
      </c>
      <c r="T14" s="239"/>
      <c r="U14" s="239"/>
      <c r="V14" s="505">
        <v>39196</v>
      </c>
      <c r="W14" s="239"/>
      <c r="X14" s="239"/>
      <c r="Y14" s="239"/>
      <c r="Z14" s="239"/>
      <c r="AA14" s="243" t="s">
        <v>30</v>
      </c>
      <c r="AB14" s="507" t="s">
        <v>922</v>
      </c>
    </row>
    <row r="15" spans="1:28" ht="30" customHeight="1">
      <c r="A15" s="241" t="s">
        <v>2290</v>
      </c>
      <c r="B15" s="419" t="s">
        <v>33</v>
      </c>
      <c r="C15" s="239" t="s">
        <v>916</v>
      </c>
      <c r="D15" s="475" t="s">
        <v>842</v>
      </c>
      <c r="E15" s="480" t="s">
        <v>35</v>
      </c>
      <c r="F15" s="381">
        <v>42538</v>
      </c>
      <c r="G15" s="239" t="s">
        <v>927</v>
      </c>
      <c r="H15" s="239" t="s">
        <v>928</v>
      </c>
      <c r="I15" s="387" t="s">
        <v>929</v>
      </c>
      <c r="J15" s="239"/>
      <c r="K15" s="239" t="s">
        <v>930</v>
      </c>
      <c r="L15" s="307">
        <v>7000</v>
      </c>
      <c r="M15" s="239"/>
      <c r="N15" s="481">
        <v>360000</v>
      </c>
      <c r="O15" s="887">
        <f>N15*0.6</f>
        <v>216000</v>
      </c>
      <c r="P15" s="887">
        <f>O15*0.001*365*0.9</f>
        <v>70956</v>
      </c>
      <c r="Q15" s="360" t="s">
        <v>53</v>
      </c>
      <c r="R15" s="840" t="s">
        <v>0</v>
      </c>
      <c r="S15" s="260">
        <f>P15/0.112194</f>
        <v>632440.23744585272</v>
      </c>
      <c r="T15" s="482"/>
      <c r="U15" s="471" t="s">
        <v>931</v>
      </c>
      <c r="V15" s="455">
        <v>60350</v>
      </c>
      <c r="W15" s="888" t="s">
        <v>932</v>
      </c>
      <c r="X15" s="249"/>
      <c r="Y15" s="386"/>
      <c r="Z15" s="249"/>
      <c r="AA15" s="239"/>
      <c r="AB15" s="1285" t="s">
        <v>926</v>
      </c>
    </row>
    <row r="16" spans="1:28" ht="47.45" customHeight="1">
      <c r="A16" s="241" t="s">
        <v>2291</v>
      </c>
      <c r="B16" s="313" t="s">
        <v>33</v>
      </c>
      <c r="C16" s="239" t="s">
        <v>916</v>
      </c>
      <c r="D16" s="475" t="s">
        <v>934</v>
      </c>
      <c r="E16" s="480" t="s">
        <v>35</v>
      </c>
      <c r="F16" s="381">
        <v>43282</v>
      </c>
      <c r="G16" s="239" t="s">
        <v>935</v>
      </c>
      <c r="H16" s="239" t="s">
        <v>936</v>
      </c>
      <c r="I16" s="401" t="s">
        <v>924</v>
      </c>
      <c r="J16" s="239"/>
      <c r="K16" s="272" t="s">
        <v>937</v>
      </c>
      <c r="L16" s="889">
        <v>4300</v>
      </c>
      <c r="M16" s="239"/>
      <c r="N16" s="278">
        <f t="shared" ref="N16:N24" si="0">O16/0.6</f>
        <v>149269.37485390867</v>
      </c>
      <c r="O16" s="278">
        <f t="shared" ref="O16:O24" si="1">P16/(0.001*365*0.9)</f>
        <v>89561.6249123452</v>
      </c>
      <c r="P16" s="278">
        <f>S16*0.112194</f>
        <v>29420.993783705399</v>
      </c>
      <c r="Q16" s="241" t="s">
        <v>53</v>
      </c>
      <c r="R16" s="490" t="s">
        <v>44</v>
      </c>
      <c r="S16" s="318">
        <f>2286253/10*1.147</f>
        <v>262233.21909999999</v>
      </c>
      <c r="T16" s="239"/>
      <c r="U16" s="239"/>
      <c r="V16" s="889">
        <v>34137</v>
      </c>
      <c r="W16" s="401" t="s">
        <v>938</v>
      </c>
      <c r="X16" s="239"/>
      <c r="Y16" s="239"/>
      <c r="Z16" s="239"/>
      <c r="AA16" s="239"/>
      <c r="AB16" s="507" t="s">
        <v>933</v>
      </c>
    </row>
    <row r="17" spans="1:28" ht="157.5">
      <c r="A17" s="287" t="s">
        <v>1315</v>
      </c>
      <c r="B17" s="287" t="s">
        <v>33</v>
      </c>
      <c r="C17" s="286" t="s">
        <v>916</v>
      </c>
      <c r="D17" s="286" t="s">
        <v>934</v>
      </c>
      <c r="E17" s="289" t="s">
        <v>35</v>
      </c>
      <c r="F17" s="890">
        <v>44228</v>
      </c>
      <c r="G17" s="891">
        <v>44957</v>
      </c>
      <c r="H17" s="266" t="s">
        <v>1316</v>
      </c>
      <c r="I17" s="272" t="s">
        <v>924</v>
      </c>
      <c r="J17" s="286"/>
      <c r="K17" s="266" t="s">
        <v>1317</v>
      </c>
      <c r="L17" s="499"/>
      <c r="M17" s="499"/>
      <c r="N17" s="486"/>
      <c r="O17" s="278">
        <f t="shared" si="1"/>
        <v>323643.83561643836</v>
      </c>
      <c r="P17" s="1221">
        <v>106317</v>
      </c>
      <c r="Q17" s="274" t="s">
        <v>53</v>
      </c>
      <c r="R17" s="372" t="s">
        <v>108</v>
      </c>
      <c r="S17" s="260">
        <f>P17/0.112194</f>
        <v>947617.51965345733</v>
      </c>
      <c r="T17" s="499"/>
      <c r="U17" s="1395"/>
      <c r="V17" s="275">
        <v>11398</v>
      </c>
      <c r="W17" s="499"/>
      <c r="X17" s="499"/>
      <c r="Y17" s="499"/>
      <c r="Z17" s="324"/>
      <c r="AA17" s="485"/>
      <c r="AB17" s="609" t="s">
        <v>2481</v>
      </c>
    </row>
    <row r="18" spans="1:28" ht="51" customHeight="1">
      <c r="A18" s="287" t="s">
        <v>1540</v>
      </c>
      <c r="B18" s="287" t="s">
        <v>33</v>
      </c>
      <c r="C18" s="286" t="s">
        <v>916</v>
      </c>
      <c r="D18" s="288" t="s">
        <v>842</v>
      </c>
      <c r="E18" s="289" t="s">
        <v>35</v>
      </c>
      <c r="F18" s="682" t="s">
        <v>1309</v>
      </c>
      <c r="G18" s="892">
        <v>44530</v>
      </c>
      <c r="H18" s="286" t="s">
        <v>1008</v>
      </c>
      <c r="I18" s="272" t="s">
        <v>924</v>
      </c>
      <c r="J18" s="272" t="s">
        <v>1332</v>
      </c>
      <c r="K18" s="272" t="s">
        <v>1541</v>
      </c>
      <c r="L18" s="244"/>
      <c r="M18" s="244"/>
      <c r="N18" s="248"/>
      <c r="O18" s="278">
        <f t="shared" si="1"/>
        <v>323643.83561643836</v>
      </c>
      <c r="P18" s="1221">
        <v>106317</v>
      </c>
      <c r="Q18" s="280" t="s">
        <v>85</v>
      </c>
      <c r="R18" s="268" t="s">
        <v>163</v>
      </c>
      <c r="S18" s="260">
        <f>P18/0.112194</f>
        <v>947617.51965345733</v>
      </c>
      <c r="T18" s="290"/>
      <c r="U18" s="292"/>
      <c r="V18" s="273">
        <f>199706/10</f>
        <v>19970.599999999999</v>
      </c>
      <c r="W18" s="290"/>
      <c r="X18" s="290"/>
      <c r="Y18" s="290"/>
      <c r="Z18" s="290"/>
      <c r="AA18" s="249"/>
      <c r="AB18" s="609" t="s">
        <v>1306</v>
      </c>
    </row>
    <row r="19" spans="1:28" ht="62.25" customHeight="1">
      <c r="A19" s="484" t="s">
        <v>2265</v>
      </c>
      <c r="B19" s="287" t="s">
        <v>33</v>
      </c>
      <c r="C19" s="484" t="s">
        <v>916</v>
      </c>
      <c r="D19" s="288" t="s">
        <v>940</v>
      </c>
      <c r="E19" s="289" t="s">
        <v>35</v>
      </c>
      <c r="F19" s="486" t="s">
        <v>941</v>
      </c>
      <c r="G19" s="485" t="s">
        <v>754</v>
      </c>
      <c r="H19" s="485" t="s">
        <v>942</v>
      </c>
      <c r="I19" s="357" t="s">
        <v>943</v>
      </c>
      <c r="J19" s="357" t="s">
        <v>944</v>
      </c>
      <c r="K19" s="285" t="s">
        <v>945</v>
      </c>
      <c r="L19" s="354">
        <v>6097</v>
      </c>
      <c r="M19" s="323"/>
      <c r="N19" s="278">
        <f t="shared" si="0"/>
        <v>433282.59766615927</v>
      </c>
      <c r="O19" s="278">
        <f t="shared" si="1"/>
        <v>259969.55859969556</v>
      </c>
      <c r="P19" s="347">
        <v>85400</v>
      </c>
      <c r="Q19" s="378" t="s">
        <v>946</v>
      </c>
      <c r="R19" s="525" t="s">
        <v>29</v>
      </c>
      <c r="S19" s="354">
        <v>710000</v>
      </c>
      <c r="T19" s="291"/>
      <c r="U19" s="488" t="s">
        <v>29</v>
      </c>
      <c r="V19" s="323"/>
      <c r="W19" s="357" t="s">
        <v>947</v>
      </c>
      <c r="X19" s="357" t="s">
        <v>0</v>
      </c>
      <c r="Y19" s="357" t="s">
        <v>801</v>
      </c>
      <c r="Z19" s="357"/>
      <c r="AA19" s="285" t="s">
        <v>30</v>
      </c>
      <c r="AB19" s="609" t="s">
        <v>939</v>
      </c>
    </row>
    <row r="20" spans="1:28" ht="42.6" customHeight="1">
      <c r="A20" s="484" t="s">
        <v>2266</v>
      </c>
      <c r="B20" s="287" t="s">
        <v>33</v>
      </c>
      <c r="C20" s="484" t="s">
        <v>916</v>
      </c>
      <c r="D20" s="288" t="s">
        <v>948</v>
      </c>
      <c r="E20" s="289" t="s">
        <v>35</v>
      </c>
      <c r="F20" s="486" t="s">
        <v>634</v>
      </c>
      <c r="G20" s="485" t="s">
        <v>781</v>
      </c>
      <c r="H20" s="485" t="s">
        <v>942</v>
      </c>
      <c r="I20" s="357" t="s">
        <v>943</v>
      </c>
      <c r="J20" s="357" t="s">
        <v>944</v>
      </c>
      <c r="K20" s="285" t="s">
        <v>949</v>
      </c>
      <c r="L20" s="354">
        <v>4645</v>
      </c>
      <c r="M20" s="323"/>
      <c r="N20" s="278">
        <f t="shared" si="0"/>
        <v>329781.83663115167</v>
      </c>
      <c r="O20" s="278">
        <f t="shared" si="1"/>
        <v>197869.101978691</v>
      </c>
      <c r="P20" s="347">
        <v>65000</v>
      </c>
      <c r="Q20" s="360" t="s">
        <v>946</v>
      </c>
      <c r="R20" s="518" t="s">
        <v>29</v>
      </c>
      <c r="S20" s="354">
        <v>540000</v>
      </c>
      <c r="T20" s="291"/>
      <c r="U20" s="488" t="s">
        <v>29</v>
      </c>
      <c r="V20" s="323"/>
      <c r="W20" s="357" t="s">
        <v>947</v>
      </c>
      <c r="X20" s="357" t="s">
        <v>0</v>
      </c>
      <c r="Y20" s="357" t="s">
        <v>801</v>
      </c>
      <c r="Z20" s="357"/>
      <c r="AA20" s="285" t="s">
        <v>30</v>
      </c>
      <c r="AB20" s="609" t="s">
        <v>939</v>
      </c>
    </row>
    <row r="21" spans="1:28" ht="49.35" customHeight="1">
      <c r="A21" s="241" t="s">
        <v>2292</v>
      </c>
      <c r="B21" s="313" t="s">
        <v>33</v>
      </c>
      <c r="C21" s="239" t="s">
        <v>916</v>
      </c>
      <c r="D21" s="475" t="s">
        <v>252</v>
      </c>
      <c r="E21" s="480" t="s">
        <v>35</v>
      </c>
      <c r="F21" s="381">
        <v>43282</v>
      </c>
      <c r="G21" s="239" t="s">
        <v>781</v>
      </c>
      <c r="H21" s="239" t="s">
        <v>951</v>
      </c>
      <c r="I21" s="286" t="s">
        <v>952</v>
      </c>
      <c r="J21" s="239" t="s">
        <v>924</v>
      </c>
      <c r="K21" s="272" t="s">
        <v>953</v>
      </c>
      <c r="L21" s="239"/>
      <c r="M21" s="239"/>
      <c r="N21" s="278">
        <f t="shared" si="0"/>
        <v>228376.97974326939</v>
      </c>
      <c r="O21" s="278">
        <f t="shared" si="1"/>
        <v>137026.18784596163</v>
      </c>
      <c r="P21" s="278">
        <f>S21*0.112194</f>
        <v>45013.102707398401</v>
      </c>
      <c r="Q21" s="241" t="s">
        <v>85</v>
      </c>
      <c r="R21" s="662" t="s">
        <v>0</v>
      </c>
      <c r="S21" s="318">
        <f>3497888/10*1.147</f>
        <v>401207.7536</v>
      </c>
      <c r="T21" s="239"/>
      <c r="U21" s="239"/>
      <c r="V21" s="318">
        <v>20770</v>
      </c>
      <c r="W21" s="239"/>
      <c r="X21" s="239"/>
      <c r="Y21" s="239"/>
      <c r="Z21" s="239"/>
      <c r="AA21" s="239"/>
      <c r="AB21" s="507" t="s">
        <v>950</v>
      </c>
    </row>
    <row r="22" spans="1:28" ht="81" customHeight="1">
      <c r="A22" s="241" t="s">
        <v>2340</v>
      </c>
      <c r="B22" s="313" t="s">
        <v>33</v>
      </c>
      <c r="C22" s="239" t="s">
        <v>916</v>
      </c>
      <c r="D22" s="475" t="s">
        <v>842</v>
      </c>
      <c r="E22" s="480" t="s">
        <v>35</v>
      </c>
      <c r="F22" s="381">
        <v>43282</v>
      </c>
      <c r="G22" s="239" t="s">
        <v>781</v>
      </c>
      <c r="H22" s="239" t="s">
        <v>951</v>
      </c>
      <c r="I22" s="239" t="s">
        <v>924</v>
      </c>
      <c r="J22" s="239" t="s">
        <v>924</v>
      </c>
      <c r="K22" s="272" t="s">
        <v>955</v>
      </c>
      <c r="L22" s="239"/>
      <c r="M22" s="239"/>
      <c r="N22" s="278">
        <f t="shared" si="0"/>
        <v>389593.43856279447</v>
      </c>
      <c r="O22" s="278">
        <f t="shared" si="1"/>
        <v>233756.06313767668</v>
      </c>
      <c r="P22" s="278">
        <f>S22*0.112194</f>
        <v>76788.866740726793</v>
      </c>
      <c r="Q22" s="241" t="s">
        <v>85</v>
      </c>
      <c r="R22" s="490" t="s">
        <v>0</v>
      </c>
      <c r="S22" s="460">
        <f>5967126/10*1.147</f>
        <v>684429.35219999996</v>
      </c>
      <c r="T22" s="239"/>
      <c r="U22" s="239"/>
      <c r="V22" s="318">
        <v>22566</v>
      </c>
      <c r="W22" s="239"/>
      <c r="X22" s="239"/>
      <c r="Y22" s="239"/>
      <c r="Z22" s="239"/>
      <c r="AA22" s="239"/>
      <c r="AB22" s="609" t="s">
        <v>954</v>
      </c>
    </row>
    <row r="23" spans="1:28" ht="48" customHeight="1">
      <c r="A23" s="241" t="s">
        <v>2316</v>
      </c>
      <c r="B23" s="313" t="s">
        <v>33</v>
      </c>
      <c r="C23" s="239" t="s">
        <v>916</v>
      </c>
      <c r="D23" s="475" t="s">
        <v>252</v>
      </c>
      <c r="E23" s="480" t="s">
        <v>35</v>
      </c>
      <c r="F23" s="381">
        <v>43009</v>
      </c>
      <c r="G23" s="239" t="s">
        <v>781</v>
      </c>
      <c r="H23" s="286" t="s">
        <v>951</v>
      </c>
      <c r="I23" s="286" t="s">
        <v>929</v>
      </c>
      <c r="J23" s="286" t="s">
        <v>924</v>
      </c>
      <c r="K23" s="272" t="s">
        <v>957</v>
      </c>
      <c r="L23" s="250"/>
      <c r="M23" s="239"/>
      <c r="N23" s="887">
        <f t="shared" si="0"/>
        <v>26416.515089981738</v>
      </c>
      <c r="O23" s="887">
        <f t="shared" si="1"/>
        <v>15849.909053989042</v>
      </c>
      <c r="P23" s="278">
        <f>S23*0.112194</f>
        <v>5206.6951242354007</v>
      </c>
      <c r="Q23" s="360" t="s">
        <v>85</v>
      </c>
      <c r="R23" s="490" t="s">
        <v>0</v>
      </c>
      <c r="S23" s="318">
        <f>404603/10*1.147</f>
        <v>46407.964100000005</v>
      </c>
      <c r="T23" s="482"/>
      <c r="U23" s="248"/>
      <c r="V23" s="318">
        <v>16839</v>
      </c>
      <c r="W23" s="249"/>
      <c r="X23" s="249"/>
      <c r="Y23" s="249"/>
      <c r="Z23" s="249"/>
      <c r="AA23" s="239"/>
      <c r="AB23" s="507" t="s">
        <v>956</v>
      </c>
    </row>
    <row r="24" spans="1:28" ht="72" customHeight="1">
      <c r="A24" s="241" t="s">
        <v>2339</v>
      </c>
      <c r="B24" s="313" t="s">
        <v>33</v>
      </c>
      <c r="C24" s="239" t="s">
        <v>916</v>
      </c>
      <c r="D24" s="475" t="s">
        <v>842</v>
      </c>
      <c r="E24" s="480" t="s">
        <v>35</v>
      </c>
      <c r="F24" s="381">
        <v>43282</v>
      </c>
      <c r="G24" s="239" t="s">
        <v>941</v>
      </c>
      <c r="H24" s="239" t="s">
        <v>951</v>
      </c>
      <c r="I24" s="239" t="s">
        <v>929</v>
      </c>
      <c r="J24" s="239" t="s">
        <v>924</v>
      </c>
      <c r="K24" s="272" t="s">
        <v>958</v>
      </c>
      <c r="L24" s="239"/>
      <c r="M24" s="239"/>
      <c r="N24" s="278">
        <f t="shared" si="0"/>
        <v>241115.44335610961</v>
      </c>
      <c r="O24" s="278">
        <f t="shared" si="1"/>
        <v>144669.26601366577</v>
      </c>
      <c r="P24" s="278">
        <f>S24*0.112194</f>
        <v>47523.85388548921</v>
      </c>
      <c r="Q24" s="241" t="s">
        <v>85</v>
      </c>
      <c r="R24" s="490" t="s">
        <v>0</v>
      </c>
      <c r="S24" s="460">
        <f>3692994/10*1.147</f>
        <v>423586.41180000006</v>
      </c>
      <c r="T24" s="239"/>
      <c r="U24" s="239"/>
      <c r="V24" s="318">
        <v>20584</v>
      </c>
      <c r="W24" s="239"/>
      <c r="X24" s="239"/>
      <c r="Y24" s="239"/>
      <c r="Z24" s="239"/>
      <c r="AA24" s="239"/>
      <c r="AB24" s="609" t="s">
        <v>954</v>
      </c>
    </row>
    <row r="25" spans="1:28" ht="51.6" customHeight="1">
      <c r="A25" s="241" t="s">
        <v>2293</v>
      </c>
      <c r="B25" s="419" t="s">
        <v>33</v>
      </c>
      <c r="C25" s="239" t="s">
        <v>916</v>
      </c>
      <c r="D25" s="475" t="s">
        <v>252</v>
      </c>
      <c r="E25" s="480" t="s">
        <v>35</v>
      </c>
      <c r="F25" s="248" t="s">
        <v>488</v>
      </c>
      <c r="G25" s="478" t="s">
        <v>960</v>
      </c>
      <c r="H25" s="239" t="s">
        <v>961</v>
      </c>
      <c r="I25" s="239" t="s">
        <v>952</v>
      </c>
      <c r="J25" s="239" t="s">
        <v>952</v>
      </c>
      <c r="K25" s="272" t="s">
        <v>962</v>
      </c>
      <c r="L25" s="307">
        <v>4370</v>
      </c>
      <c r="M25" s="239"/>
      <c r="N25" s="347">
        <v>330000</v>
      </c>
      <c r="O25" s="278">
        <f>N25*0.6</f>
        <v>198000</v>
      </c>
      <c r="P25" s="278">
        <f>O25*0.001*365*0.9</f>
        <v>65043</v>
      </c>
      <c r="Q25" s="280" t="s">
        <v>53</v>
      </c>
      <c r="R25" s="840" t="s">
        <v>157</v>
      </c>
      <c r="S25" s="260">
        <f>P25/0.112194</f>
        <v>579736.88432536495</v>
      </c>
      <c r="T25" s="482"/>
      <c r="U25" s="248"/>
      <c r="V25" s="318">
        <v>13874</v>
      </c>
      <c r="W25" s="249"/>
      <c r="X25" s="249"/>
      <c r="Y25" s="249" t="s">
        <v>963</v>
      </c>
      <c r="Z25" s="249"/>
      <c r="AA25" s="249"/>
      <c r="AB25" s="239" t="s">
        <v>959</v>
      </c>
    </row>
    <row r="26" spans="1:28" ht="62.25" customHeight="1">
      <c r="A26" s="241" t="s">
        <v>2317</v>
      </c>
      <c r="B26" s="313" t="s">
        <v>33</v>
      </c>
      <c r="C26" s="239" t="s">
        <v>916</v>
      </c>
      <c r="D26" s="475" t="s">
        <v>965</v>
      </c>
      <c r="E26" s="480" t="s">
        <v>35</v>
      </c>
      <c r="F26" s="893">
        <v>43009</v>
      </c>
      <c r="G26" s="239"/>
      <c r="H26" s="286" t="s">
        <v>951</v>
      </c>
      <c r="I26" s="239" t="s">
        <v>929</v>
      </c>
      <c r="J26" s="308" t="s">
        <v>924</v>
      </c>
      <c r="K26" s="272" t="s">
        <v>966</v>
      </c>
      <c r="L26" s="308"/>
      <c r="M26" s="308"/>
      <c r="N26" s="278">
        <f>O26/0.6</f>
        <v>30523.51495211872</v>
      </c>
      <c r="O26" s="278">
        <f>P26/(0.001*365*0.9)</f>
        <v>18314.108971271231</v>
      </c>
      <c r="P26" s="278">
        <f>S26*0.112194</f>
        <v>6016.1847970625995</v>
      </c>
      <c r="Q26" s="360" t="s">
        <v>85</v>
      </c>
      <c r="R26" s="490" t="s">
        <v>0</v>
      </c>
      <c r="S26" s="460">
        <f>467507/10*1.147</f>
        <v>53623.052899999995</v>
      </c>
      <c r="T26" s="308"/>
      <c r="U26" s="308"/>
      <c r="V26" s="318">
        <v>36085</v>
      </c>
      <c r="W26" s="308"/>
      <c r="X26" s="308"/>
      <c r="Y26" s="308"/>
      <c r="Z26" s="308"/>
      <c r="AA26" s="308"/>
      <c r="AB26" s="638" t="s">
        <v>964</v>
      </c>
    </row>
    <row r="27" spans="1:28" ht="27.75" customHeight="1">
      <c r="A27" s="241" t="s">
        <v>2294</v>
      </c>
      <c r="B27" s="419" t="s">
        <v>33</v>
      </c>
      <c r="C27" s="239" t="s">
        <v>916</v>
      </c>
      <c r="D27" s="475" t="s">
        <v>252</v>
      </c>
      <c r="E27" s="480" t="s">
        <v>35</v>
      </c>
      <c r="F27" s="1222" t="s">
        <v>969</v>
      </c>
      <c r="G27" s="239" t="s">
        <v>970</v>
      </c>
      <c r="H27" s="239" t="s">
        <v>923</v>
      </c>
      <c r="I27" s="239"/>
      <c r="J27" s="239" t="s">
        <v>924</v>
      </c>
      <c r="K27" s="272" t="s">
        <v>971</v>
      </c>
      <c r="L27" s="894">
        <v>7425</v>
      </c>
      <c r="M27" s="239"/>
      <c r="N27" s="887">
        <f>O27/0.6</f>
        <v>259825.26173798175</v>
      </c>
      <c r="O27" s="887">
        <f>P27/(0.001*365*0.9)</f>
        <v>155895.15704278904</v>
      </c>
      <c r="P27" s="887">
        <f>S27*0.112194</f>
        <v>51211.559088556205</v>
      </c>
      <c r="Q27" s="331" t="s">
        <v>53</v>
      </c>
      <c r="R27" s="895" t="s">
        <v>108</v>
      </c>
      <c r="S27" s="318">
        <f>3979559/10*1.147</f>
        <v>456455.41730000003</v>
      </c>
      <c r="T27" s="239"/>
      <c r="U27" s="239"/>
      <c r="V27" s="318">
        <v>18523</v>
      </c>
      <c r="W27" s="239"/>
      <c r="X27" s="239"/>
      <c r="Y27" s="239"/>
      <c r="Z27" s="239"/>
      <c r="AA27" s="239"/>
      <c r="AB27" s="507" t="s">
        <v>967</v>
      </c>
    </row>
    <row r="28" spans="1:28" ht="51" customHeight="1">
      <c r="A28" s="241" t="s">
        <v>1339</v>
      </c>
      <c r="B28" s="313" t="s">
        <v>33</v>
      </c>
      <c r="C28" s="239" t="s">
        <v>916</v>
      </c>
      <c r="D28" s="475" t="s">
        <v>965</v>
      </c>
      <c r="E28" s="480" t="s">
        <v>35</v>
      </c>
      <c r="F28" s="381">
        <v>43282</v>
      </c>
      <c r="G28" s="239" t="s">
        <v>1340</v>
      </c>
      <c r="H28" s="239" t="s">
        <v>951</v>
      </c>
      <c r="I28" s="239" t="s">
        <v>929</v>
      </c>
      <c r="J28" s="239" t="s">
        <v>924</v>
      </c>
      <c r="K28" s="272" t="s">
        <v>1341</v>
      </c>
      <c r="L28" s="239"/>
      <c r="M28" s="239"/>
      <c r="N28" s="278">
        <f>O28/0.6</f>
        <v>167561.20688964383</v>
      </c>
      <c r="O28" s="278">
        <f>P28/(0.001*365*0.9)</f>
        <v>100536.72413378629</v>
      </c>
      <c r="P28" s="278">
        <f>S28*0.112194</f>
        <v>33026.3138779488</v>
      </c>
      <c r="Q28" s="241" t="s">
        <v>85</v>
      </c>
      <c r="R28" s="490" t="s">
        <v>0</v>
      </c>
      <c r="S28" s="460">
        <f>2566416/10*1.147</f>
        <v>294367.91519999999</v>
      </c>
      <c r="T28" s="239"/>
      <c r="U28" s="239"/>
      <c r="V28" s="433">
        <v>18149</v>
      </c>
      <c r="W28" s="239"/>
      <c r="X28" s="239"/>
      <c r="Y28" s="239"/>
      <c r="Z28" s="239"/>
      <c r="AA28" s="239"/>
      <c r="AB28" s="239" t="s">
        <v>972</v>
      </c>
    </row>
    <row r="29" spans="1:28" ht="54.6" customHeight="1">
      <c r="A29" s="241" t="s">
        <v>2288</v>
      </c>
      <c r="B29" s="241" t="s">
        <v>33</v>
      </c>
      <c r="C29" s="239" t="s">
        <v>916</v>
      </c>
      <c r="D29" s="475" t="s">
        <v>252</v>
      </c>
      <c r="E29" s="480" t="s">
        <v>35</v>
      </c>
      <c r="F29" s="248"/>
      <c r="G29" s="239"/>
      <c r="H29" s="239" t="s">
        <v>936</v>
      </c>
      <c r="I29" s="239"/>
      <c r="J29" s="243" t="s">
        <v>924</v>
      </c>
      <c r="K29" s="239" t="s">
        <v>1342</v>
      </c>
      <c r="L29" s="307">
        <v>10350</v>
      </c>
      <c r="M29" s="239"/>
      <c r="N29" s="283">
        <f>O29/0.6</f>
        <v>273181.82543499547</v>
      </c>
      <c r="O29" s="283">
        <f>P29/(0.001*365*0.9)</f>
        <v>163909.09526099727</v>
      </c>
      <c r="P29" s="278">
        <f>S29*0.112194</f>
        <v>53844.137793237605</v>
      </c>
      <c r="Q29" s="360" t="s">
        <v>53</v>
      </c>
      <c r="R29" s="485" t="s">
        <v>600</v>
      </c>
      <c r="S29" s="318">
        <f>4184132/10*1.147</f>
        <v>479919.94040000002</v>
      </c>
      <c r="T29" s="239"/>
      <c r="U29" s="239"/>
      <c r="V29" s="318">
        <v>19256</v>
      </c>
      <c r="W29" s="239"/>
      <c r="X29" s="239"/>
      <c r="Y29" s="239"/>
      <c r="Z29" s="243"/>
      <c r="AA29" s="239"/>
      <c r="AB29" s="507" t="s">
        <v>1029</v>
      </c>
    </row>
    <row r="30" spans="1:28" ht="74.45" customHeight="1">
      <c r="A30" s="241" t="s">
        <v>2318</v>
      </c>
      <c r="B30" s="313" t="s">
        <v>33</v>
      </c>
      <c r="C30" s="239" t="s">
        <v>916</v>
      </c>
      <c r="D30" s="475" t="s">
        <v>965</v>
      </c>
      <c r="E30" s="491" t="s">
        <v>35</v>
      </c>
      <c r="F30" s="1223" t="s">
        <v>1007</v>
      </c>
      <c r="G30" s="239"/>
      <c r="H30" s="239" t="s">
        <v>936</v>
      </c>
      <c r="I30" s="239" t="s">
        <v>924</v>
      </c>
      <c r="J30" s="239"/>
      <c r="K30" s="272" t="s">
        <v>1343</v>
      </c>
      <c r="L30" s="499"/>
      <c r="M30" s="499"/>
      <c r="N30" s="283">
        <f>O30/0.6</f>
        <v>1642274.8245662099</v>
      </c>
      <c r="O30" s="283">
        <f>P30/(0.001*365*0.9)</f>
        <v>985364.89473972598</v>
      </c>
      <c r="P30" s="278">
        <f>S30*0.112194</f>
        <v>323692.367922</v>
      </c>
      <c r="Q30" s="484" t="s">
        <v>53</v>
      </c>
      <c r="R30" s="657" t="s">
        <v>600</v>
      </c>
      <c r="S30" s="318">
        <v>2885113</v>
      </c>
      <c r="T30" s="487"/>
      <c r="U30" s="524"/>
      <c r="V30" s="460">
        <v>27000</v>
      </c>
      <c r="W30" s="487"/>
      <c r="X30" s="487"/>
      <c r="Y30" s="487"/>
      <c r="Z30" s="487"/>
      <c r="AA30" s="485"/>
      <c r="AB30" s="239" t="s">
        <v>1005</v>
      </c>
    </row>
    <row r="31" spans="1:28" ht="51" customHeight="1">
      <c r="A31" s="241" t="s">
        <v>2286</v>
      </c>
      <c r="B31" s="313" t="s">
        <v>33</v>
      </c>
      <c r="C31" s="239" t="s">
        <v>916</v>
      </c>
      <c r="D31" s="475" t="s">
        <v>940</v>
      </c>
      <c r="E31" s="480" t="s">
        <v>35</v>
      </c>
      <c r="F31" s="381">
        <v>43282</v>
      </c>
      <c r="G31" s="239" t="s">
        <v>1344</v>
      </c>
      <c r="H31" s="239" t="s">
        <v>936</v>
      </c>
      <c r="I31" s="239" t="s">
        <v>929</v>
      </c>
      <c r="J31" s="239" t="s">
        <v>924</v>
      </c>
      <c r="K31" s="272" t="s">
        <v>1345</v>
      </c>
      <c r="L31" s="239"/>
      <c r="M31" s="239"/>
      <c r="N31" s="278">
        <f>(O31/6)*10</f>
        <v>2412214.2610045662</v>
      </c>
      <c r="O31" s="278">
        <f t="shared" ref="O31:O43" si="2">P31/(0.001*365*0.9)</f>
        <v>1447328.5566027397</v>
      </c>
      <c r="P31" s="278">
        <f t="shared" ref="P31:P43" si="3">S31*0.112194</f>
        <v>475447.43084400002</v>
      </c>
      <c r="Q31" s="241" t="s">
        <v>53</v>
      </c>
      <c r="R31" s="490" t="s">
        <v>600</v>
      </c>
      <c r="S31" s="460">
        <v>4237726</v>
      </c>
      <c r="T31" s="239"/>
      <c r="U31" s="239"/>
      <c r="V31" s="460">
        <v>15018</v>
      </c>
      <c r="W31" s="239"/>
      <c r="X31" s="239"/>
      <c r="Y31" s="239"/>
      <c r="Z31" s="239"/>
      <c r="AA31" s="239"/>
      <c r="AB31" s="239" t="s">
        <v>972</v>
      </c>
    </row>
    <row r="32" spans="1:28" ht="48" customHeight="1">
      <c r="A32" s="241" t="s">
        <v>2287</v>
      </c>
      <c r="B32" s="313" t="s">
        <v>33</v>
      </c>
      <c r="C32" s="239" t="s">
        <v>916</v>
      </c>
      <c r="D32" s="475" t="s">
        <v>934</v>
      </c>
      <c r="E32" s="480" t="s">
        <v>35</v>
      </c>
      <c r="F32" s="381">
        <v>43349</v>
      </c>
      <c r="G32" s="239" t="s">
        <v>941</v>
      </c>
      <c r="H32" s="239" t="s">
        <v>936</v>
      </c>
      <c r="I32" s="239" t="s">
        <v>929</v>
      </c>
      <c r="J32" s="239" t="s">
        <v>924</v>
      </c>
      <c r="K32" s="272" t="s">
        <v>973</v>
      </c>
      <c r="L32" s="889">
        <v>8350</v>
      </c>
      <c r="M32" s="239"/>
      <c r="N32" s="278">
        <f>(O32/6)*10</f>
        <v>313011.24946046574</v>
      </c>
      <c r="O32" s="278">
        <f t="shared" si="2"/>
        <v>187806.74967627946</v>
      </c>
      <c r="P32" s="278">
        <f t="shared" si="3"/>
        <v>61694.517268657808</v>
      </c>
      <c r="Q32" s="241" t="s">
        <v>53</v>
      </c>
      <c r="R32" s="490" t="s">
        <v>600</v>
      </c>
      <c r="S32" s="460">
        <f>4794171/10*1.147</f>
        <v>549891.41370000003</v>
      </c>
      <c r="T32" s="239"/>
      <c r="U32" s="239"/>
      <c r="V32" s="460">
        <v>18985</v>
      </c>
      <c r="W32" s="239"/>
      <c r="X32" s="239"/>
      <c r="Y32" s="239"/>
      <c r="Z32" s="401"/>
      <c r="AA32" s="239"/>
      <c r="AB32" s="239" t="s">
        <v>972</v>
      </c>
    </row>
    <row r="33" spans="1:28" ht="73.7" customHeight="1">
      <c r="A33" s="241" t="s">
        <v>2319</v>
      </c>
      <c r="B33" s="313" t="s">
        <v>33</v>
      </c>
      <c r="C33" s="239" t="s">
        <v>916</v>
      </c>
      <c r="D33" s="475" t="s">
        <v>252</v>
      </c>
      <c r="E33" s="480" t="s">
        <v>35</v>
      </c>
      <c r="F33" s="682">
        <v>43282</v>
      </c>
      <c r="G33" s="239" t="s">
        <v>781</v>
      </c>
      <c r="H33" s="239" t="s">
        <v>951</v>
      </c>
      <c r="I33" s="239" t="s">
        <v>929</v>
      </c>
      <c r="J33" s="239" t="s">
        <v>924</v>
      </c>
      <c r="K33" s="272" t="s">
        <v>974</v>
      </c>
      <c r="L33" s="239"/>
      <c r="M33" s="239"/>
      <c r="N33" s="278">
        <f t="shared" ref="N33:N43" si="4">O33/0.6</f>
        <v>354419.188932758</v>
      </c>
      <c r="O33" s="278">
        <f t="shared" si="2"/>
        <v>212651.51335965478</v>
      </c>
      <c r="P33" s="278">
        <f t="shared" si="3"/>
        <v>69856.0221386466</v>
      </c>
      <c r="Q33" s="241" t="s">
        <v>85</v>
      </c>
      <c r="R33" s="490" t="s">
        <v>0</v>
      </c>
      <c r="S33" s="318">
        <f>5428387/10*1.147</f>
        <v>622635.9889</v>
      </c>
      <c r="T33" s="239"/>
      <c r="U33" s="239"/>
      <c r="V33" s="460">
        <v>28550</v>
      </c>
      <c r="W33" s="239"/>
      <c r="X33" s="239"/>
      <c r="Y33" s="239"/>
      <c r="Z33" s="239"/>
      <c r="AA33" s="239"/>
      <c r="AB33" s="239" t="s">
        <v>972</v>
      </c>
    </row>
    <row r="34" spans="1:28" ht="56.45" customHeight="1">
      <c r="A34" s="241" t="s">
        <v>2297</v>
      </c>
      <c r="B34" s="313" t="s">
        <v>33</v>
      </c>
      <c r="C34" s="239" t="s">
        <v>916</v>
      </c>
      <c r="D34" s="475" t="s">
        <v>965</v>
      </c>
      <c r="E34" s="480" t="s">
        <v>35</v>
      </c>
      <c r="F34" s="682">
        <v>43282</v>
      </c>
      <c r="G34" s="239" t="s">
        <v>1344</v>
      </c>
      <c r="H34" s="239" t="s">
        <v>936</v>
      </c>
      <c r="I34" s="239" t="s">
        <v>929</v>
      </c>
      <c r="J34" s="239" t="s">
        <v>924</v>
      </c>
      <c r="K34" s="272" t="s">
        <v>1346</v>
      </c>
      <c r="L34" s="239"/>
      <c r="M34" s="239"/>
      <c r="N34" s="278">
        <f t="shared" si="4"/>
        <v>262373.00669252052</v>
      </c>
      <c r="O34" s="278">
        <f t="shared" si="2"/>
        <v>157423.80401551232</v>
      </c>
      <c r="P34" s="278">
        <f t="shared" si="3"/>
        <v>51713.719619095798</v>
      </c>
      <c r="Q34" s="241" t="s">
        <v>53</v>
      </c>
      <c r="R34" s="490" t="s">
        <v>600</v>
      </c>
      <c r="S34" s="318">
        <f>4018581/10*1.147</f>
        <v>460931.24069999997</v>
      </c>
      <c r="T34" s="239"/>
      <c r="U34" s="239"/>
      <c r="V34" s="460">
        <v>13615</v>
      </c>
      <c r="W34" s="239"/>
      <c r="X34" s="239"/>
      <c r="Y34" s="239"/>
      <c r="Z34" s="239"/>
      <c r="AA34" s="239"/>
      <c r="AB34" s="239" t="s">
        <v>972</v>
      </c>
    </row>
    <row r="35" spans="1:28" ht="59.25" customHeight="1">
      <c r="A35" s="241" t="s">
        <v>2295</v>
      </c>
      <c r="B35" s="313" t="s">
        <v>33</v>
      </c>
      <c r="C35" s="239" t="s">
        <v>916</v>
      </c>
      <c r="D35" s="475" t="s">
        <v>252</v>
      </c>
      <c r="E35" s="480" t="s">
        <v>35</v>
      </c>
      <c r="F35" s="682">
        <v>43282</v>
      </c>
      <c r="G35" s="239" t="s">
        <v>781</v>
      </c>
      <c r="H35" s="239" t="s">
        <v>951</v>
      </c>
      <c r="I35" s="239" t="s">
        <v>929</v>
      </c>
      <c r="J35" s="239" t="s">
        <v>924</v>
      </c>
      <c r="K35" s="272" t="s">
        <v>975</v>
      </c>
      <c r="L35" s="239"/>
      <c r="M35" s="239"/>
      <c r="N35" s="278">
        <f t="shared" si="4"/>
        <v>290744.49915869412</v>
      </c>
      <c r="O35" s="278">
        <f t="shared" si="2"/>
        <v>174446.69949521645</v>
      </c>
      <c r="P35" s="278">
        <f t="shared" si="3"/>
        <v>57305.740784178604</v>
      </c>
      <c r="Q35" s="241" t="s">
        <v>85</v>
      </c>
      <c r="R35" s="490" t="s">
        <v>0</v>
      </c>
      <c r="S35" s="318">
        <f>4453127/10*1.147</f>
        <v>510773.66690000001</v>
      </c>
      <c r="T35" s="239"/>
      <c r="U35" s="239"/>
      <c r="V35" s="460">
        <v>26594</v>
      </c>
      <c r="W35" s="239"/>
      <c r="X35" s="239"/>
      <c r="Y35" s="239"/>
      <c r="Z35" s="239"/>
      <c r="AA35" s="239"/>
      <c r="AB35" s="239" t="s">
        <v>972</v>
      </c>
    </row>
    <row r="36" spans="1:28" ht="78" customHeight="1">
      <c r="A36" s="241" t="s">
        <v>2320</v>
      </c>
      <c r="B36" s="313" t="s">
        <v>33</v>
      </c>
      <c r="C36" s="239" t="s">
        <v>916</v>
      </c>
      <c r="D36" s="475" t="s">
        <v>252</v>
      </c>
      <c r="E36" s="480" t="s">
        <v>35</v>
      </c>
      <c r="F36" s="682">
        <v>43374</v>
      </c>
      <c r="G36" s="239" t="s">
        <v>781</v>
      </c>
      <c r="H36" s="239" t="s">
        <v>951</v>
      </c>
      <c r="I36" s="239" t="s">
        <v>929</v>
      </c>
      <c r="J36" s="239" t="s">
        <v>924</v>
      </c>
      <c r="K36" s="272" t="s">
        <v>976</v>
      </c>
      <c r="L36" s="239"/>
      <c r="M36" s="239"/>
      <c r="N36" s="278">
        <f t="shared" si="4"/>
        <v>151261.30634942467</v>
      </c>
      <c r="O36" s="278">
        <f t="shared" si="2"/>
        <v>90756.783809654808</v>
      </c>
      <c r="P36" s="278">
        <f t="shared" si="3"/>
        <v>29813.603481471604</v>
      </c>
      <c r="Q36" s="241" t="s">
        <v>85</v>
      </c>
      <c r="R36" s="490" t="s">
        <v>0</v>
      </c>
      <c r="S36" s="318">
        <f>2316762/10*1.147</f>
        <v>265732.60140000004</v>
      </c>
      <c r="T36" s="239"/>
      <c r="U36" s="239"/>
      <c r="V36" s="460">
        <v>11890</v>
      </c>
      <c r="W36" s="239"/>
      <c r="X36" s="239"/>
      <c r="Y36" s="239"/>
      <c r="Z36" s="239"/>
      <c r="AA36" s="239"/>
      <c r="AB36" s="239" t="s">
        <v>972</v>
      </c>
    </row>
    <row r="37" spans="1:28" ht="45" customHeight="1">
      <c r="A37" s="241" t="s">
        <v>1347</v>
      </c>
      <c r="B37" s="313" t="s">
        <v>33</v>
      </c>
      <c r="C37" s="239" t="s">
        <v>916</v>
      </c>
      <c r="D37" s="475" t="s">
        <v>252</v>
      </c>
      <c r="E37" s="491" t="s">
        <v>35</v>
      </c>
      <c r="F37" s="513" t="s">
        <v>1007</v>
      </c>
      <c r="G37" s="239"/>
      <c r="H37" s="239" t="s">
        <v>1008</v>
      </c>
      <c r="I37" s="239" t="s">
        <v>924</v>
      </c>
      <c r="J37" s="239"/>
      <c r="K37" s="272" t="s">
        <v>1348</v>
      </c>
      <c r="L37" s="244"/>
      <c r="M37" s="244"/>
      <c r="N37" s="248"/>
      <c r="O37" s="278">
        <f t="shared" si="2"/>
        <v>323643.83561643836</v>
      </c>
      <c r="P37" s="1224">
        <v>106317</v>
      </c>
      <c r="Q37" s="360" t="s">
        <v>85</v>
      </c>
      <c r="R37" s="518" t="s">
        <v>0</v>
      </c>
      <c r="S37" s="260">
        <f>P37/0.112194</f>
        <v>947617.51965345733</v>
      </c>
      <c r="T37" s="290"/>
      <c r="U37" s="292"/>
      <c r="V37" s="896">
        <v>5950</v>
      </c>
      <c r="W37" s="290"/>
      <c r="X37" s="290"/>
      <c r="Y37" s="290"/>
      <c r="Z37" s="290"/>
      <c r="AA37" s="249"/>
      <c r="AB37" s="239" t="s">
        <v>1005</v>
      </c>
    </row>
    <row r="38" spans="1:28" ht="48" customHeight="1">
      <c r="A38" s="241" t="s">
        <v>1349</v>
      </c>
      <c r="B38" s="241" t="s">
        <v>33</v>
      </c>
      <c r="C38" s="239" t="s">
        <v>916</v>
      </c>
      <c r="D38" s="475" t="s">
        <v>252</v>
      </c>
      <c r="E38" s="491" t="s">
        <v>35</v>
      </c>
      <c r="F38" s="486"/>
      <c r="G38" s="239"/>
      <c r="H38" s="272" t="s">
        <v>1008</v>
      </c>
      <c r="I38" s="272" t="s">
        <v>924</v>
      </c>
      <c r="J38" s="239"/>
      <c r="K38" s="272" t="s">
        <v>1350</v>
      </c>
      <c r="L38" s="244"/>
      <c r="M38" s="244"/>
      <c r="N38" s="1237">
        <v>325000</v>
      </c>
      <c r="O38" s="1225">
        <f>N38*0.6</f>
        <v>195000</v>
      </c>
      <c r="P38" s="1225">
        <f>O38*0.3285</f>
        <v>64057.5</v>
      </c>
      <c r="Q38" s="280" t="s">
        <v>85</v>
      </c>
      <c r="R38" s="536" t="s">
        <v>163</v>
      </c>
      <c r="S38" s="260">
        <f>P38/0.112194</f>
        <v>570952.99213861697</v>
      </c>
      <c r="T38" s="290"/>
      <c r="U38" s="292"/>
      <c r="V38" s="273">
        <v>21200</v>
      </c>
      <c r="W38" s="290"/>
      <c r="X38" s="290"/>
      <c r="Y38" s="290"/>
      <c r="Z38" s="290"/>
      <c r="AA38" s="249"/>
      <c r="AB38" s="239" t="s">
        <v>1005</v>
      </c>
    </row>
    <row r="39" spans="1:28" ht="58.7" customHeight="1">
      <c r="A39" s="241" t="s">
        <v>2298</v>
      </c>
      <c r="B39" s="313" t="s">
        <v>33</v>
      </c>
      <c r="C39" s="239" t="s">
        <v>916</v>
      </c>
      <c r="D39" s="475" t="s">
        <v>1308</v>
      </c>
      <c r="E39" s="480" t="s">
        <v>35</v>
      </c>
      <c r="F39" s="682">
        <v>43282</v>
      </c>
      <c r="G39" s="239" t="s">
        <v>1354</v>
      </c>
      <c r="H39" s="239" t="s">
        <v>936</v>
      </c>
      <c r="I39" s="239" t="s">
        <v>929</v>
      </c>
      <c r="J39" s="239" t="s">
        <v>924</v>
      </c>
      <c r="K39" s="272" t="s">
        <v>1355</v>
      </c>
      <c r="L39" s="239"/>
      <c r="M39" s="239"/>
      <c r="N39" s="278">
        <f t="shared" si="4"/>
        <v>205043.06498857538</v>
      </c>
      <c r="O39" s="278">
        <f t="shared" si="2"/>
        <v>123025.83899314523</v>
      </c>
      <c r="P39" s="278">
        <f t="shared" si="3"/>
        <v>40413.98810924821</v>
      </c>
      <c r="Q39" s="331" t="s">
        <v>53</v>
      </c>
      <c r="R39" s="895" t="s">
        <v>600</v>
      </c>
      <c r="S39" s="318">
        <f>3140499/10*1.147</f>
        <v>360215.23530000006</v>
      </c>
      <c r="T39" s="239"/>
      <c r="U39" s="239"/>
      <c r="V39" s="273">
        <v>12218</v>
      </c>
      <c r="W39" s="239"/>
      <c r="X39" s="239"/>
      <c r="Y39" s="239"/>
      <c r="Z39" s="239"/>
      <c r="AA39" s="239"/>
      <c r="AB39" s="239" t="s">
        <v>1353</v>
      </c>
    </row>
    <row r="40" spans="1:28" ht="83.45" customHeight="1">
      <c r="A40" s="241" t="s">
        <v>2296</v>
      </c>
      <c r="B40" s="313" t="s">
        <v>33</v>
      </c>
      <c r="C40" s="239" t="s">
        <v>916</v>
      </c>
      <c r="D40" s="475" t="s">
        <v>252</v>
      </c>
      <c r="E40" s="480" t="s">
        <v>35</v>
      </c>
      <c r="F40" s="486"/>
      <c r="G40" s="239"/>
      <c r="H40" s="239" t="s">
        <v>923</v>
      </c>
      <c r="I40" s="239"/>
      <c r="J40" s="239" t="s">
        <v>924</v>
      </c>
      <c r="K40" s="272" t="s">
        <v>1356</v>
      </c>
      <c r="L40" s="455">
        <v>5200</v>
      </c>
      <c r="M40" s="239"/>
      <c r="N40" s="278">
        <f t="shared" si="4"/>
        <v>257602.13848181738</v>
      </c>
      <c r="O40" s="887">
        <f t="shared" si="2"/>
        <v>154561.28308909043</v>
      </c>
      <c r="P40" s="887">
        <f t="shared" si="3"/>
        <v>50773.38149476621</v>
      </c>
      <c r="Q40" s="331" t="s">
        <v>53</v>
      </c>
      <c r="R40" s="895" t="s">
        <v>108</v>
      </c>
      <c r="S40" s="318">
        <f>3945509/10*1.147</f>
        <v>452549.88230000006</v>
      </c>
      <c r="T40" s="239"/>
      <c r="U40" s="239"/>
      <c r="V40" s="273">
        <v>16196</v>
      </c>
      <c r="W40" s="239"/>
      <c r="X40" s="239"/>
      <c r="Y40" s="239"/>
      <c r="Z40" s="243"/>
      <c r="AA40" s="239"/>
      <c r="AB40" s="507" t="s">
        <v>997</v>
      </c>
    </row>
    <row r="41" spans="1:28" ht="41.25" customHeight="1">
      <c r="A41" s="241" t="s">
        <v>1359</v>
      </c>
      <c r="B41" s="241" t="s">
        <v>33</v>
      </c>
      <c r="C41" s="239" t="s">
        <v>916</v>
      </c>
      <c r="D41" s="475" t="s">
        <v>252</v>
      </c>
      <c r="E41" s="491" t="s">
        <v>35</v>
      </c>
      <c r="F41" s="486"/>
      <c r="G41" s="239"/>
      <c r="H41" s="272" t="s">
        <v>1008</v>
      </c>
      <c r="I41" s="272" t="s">
        <v>924</v>
      </c>
      <c r="J41" s="239"/>
      <c r="K41" s="272" t="s">
        <v>1360</v>
      </c>
      <c r="L41" s="244"/>
      <c r="M41" s="244"/>
      <c r="N41" s="248"/>
      <c r="O41" s="887">
        <f t="shared" si="2"/>
        <v>323643.83561643836</v>
      </c>
      <c r="P41" s="1224">
        <v>106317</v>
      </c>
      <c r="Q41" s="280" t="s">
        <v>85</v>
      </c>
      <c r="R41" s="536" t="s">
        <v>163</v>
      </c>
      <c r="S41" s="260">
        <f>P41/0.112194</f>
        <v>947617.51965345733</v>
      </c>
      <c r="T41" s="290"/>
      <c r="U41" s="292"/>
      <c r="V41" s="273">
        <v>5070</v>
      </c>
      <c r="W41" s="290"/>
      <c r="X41" s="290"/>
      <c r="Y41" s="290"/>
      <c r="Z41" s="290"/>
      <c r="AA41" s="249"/>
      <c r="AB41" s="239" t="s">
        <v>1005</v>
      </c>
    </row>
    <row r="42" spans="1:28" ht="48.6" customHeight="1">
      <c r="A42" s="241" t="s">
        <v>2321</v>
      </c>
      <c r="B42" s="313" t="s">
        <v>33</v>
      </c>
      <c r="C42" s="239" t="s">
        <v>916</v>
      </c>
      <c r="D42" s="475" t="s">
        <v>252</v>
      </c>
      <c r="E42" s="480" t="s">
        <v>35</v>
      </c>
      <c r="F42" s="682">
        <v>43009</v>
      </c>
      <c r="G42" s="239"/>
      <c r="H42" s="286" t="s">
        <v>951</v>
      </c>
      <c r="I42" s="239" t="s">
        <v>929</v>
      </c>
      <c r="J42" s="286" t="s">
        <v>924</v>
      </c>
      <c r="K42" s="272" t="s">
        <v>978</v>
      </c>
      <c r="L42" s="250"/>
      <c r="M42" s="239"/>
      <c r="N42" s="278">
        <f t="shared" si="4"/>
        <v>21425.55441242009</v>
      </c>
      <c r="O42" s="278">
        <f t="shared" si="2"/>
        <v>12855.332647452053</v>
      </c>
      <c r="P42" s="278">
        <f t="shared" si="3"/>
        <v>4222.9767746879998</v>
      </c>
      <c r="Q42" s="360" t="s">
        <v>85</v>
      </c>
      <c r="R42" s="490" t="s">
        <v>0</v>
      </c>
      <c r="S42" s="318">
        <f>328160/10*1.147</f>
        <v>37639.951999999997</v>
      </c>
      <c r="T42" s="482"/>
      <c r="U42" s="248"/>
      <c r="V42" s="273">
        <v>20512</v>
      </c>
      <c r="W42" s="249"/>
      <c r="X42" s="249"/>
      <c r="Y42" s="249"/>
      <c r="Z42" s="249"/>
      <c r="AA42" s="239"/>
      <c r="AB42" s="239" t="s">
        <v>977</v>
      </c>
    </row>
    <row r="43" spans="1:28" ht="51" customHeight="1">
      <c r="A43" s="241" t="s">
        <v>1363</v>
      </c>
      <c r="B43" s="241" t="s">
        <v>33</v>
      </c>
      <c r="C43" s="239" t="s">
        <v>916</v>
      </c>
      <c r="D43" s="475" t="s">
        <v>252</v>
      </c>
      <c r="E43" s="491" t="s">
        <v>35</v>
      </c>
      <c r="F43" s="486"/>
      <c r="G43" s="239"/>
      <c r="H43" s="272" t="s">
        <v>1337</v>
      </c>
      <c r="I43" s="272" t="s">
        <v>924</v>
      </c>
      <c r="J43" s="239"/>
      <c r="K43" s="272" t="s">
        <v>1364</v>
      </c>
      <c r="L43" s="244"/>
      <c r="M43" s="244"/>
      <c r="N43" s="278">
        <f t="shared" si="4"/>
        <v>1021293.8421004567</v>
      </c>
      <c r="O43" s="278">
        <f t="shared" si="2"/>
        <v>612776.30526027398</v>
      </c>
      <c r="P43" s="278">
        <f t="shared" si="3"/>
        <v>201297.016278</v>
      </c>
      <c r="Q43" s="280" t="s">
        <v>53</v>
      </c>
      <c r="R43" s="267" t="s">
        <v>600</v>
      </c>
      <c r="S43" s="318">
        <v>1794187</v>
      </c>
      <c r="T43" s="290"/>
      <c r="U43" s="292"/>
      <c r="V43" s="273">
        <v>16730</v>
      </c>
      <c r="W43" s="290"/>
      <c r="X43" s="290"/>
      <c r="Y43" s="290"/>
      <c r="Z43" s="290"/>
      <c r="AA43" s="249"/>
      <c r="AB43" s="239" t="s">
        <v>1005</v>
      </c>
    </row>
    <row r="44" spans="1:28" ht="60.6" customHeight="1">
      <c r="A44" s="241" t="s">
        <v>1365</v>
      </c>
      <c r="B44" s="313" t="s">
        <v>33</v>
      </c>
      <c r="C44" s="239" t="s">
        <v>916</v>
      </c>
      <c r="D44" s="475" t="s">
        <v>965</v>
      </c>
      <c r="E44" s="491" t="s">
        <v>35</v>
      </c>
      <c r="F44" s="513" t="s">
        <v>1007</v>
      </c>
      <c r="G44" s="239"/>
      <c r="H44" s="239" t="s">
        <v>936</v>
      </c>
      <c r="I44" s="239" t="s">
        <v>924</v>
      </c>
      <c r="J44" s="239"/>
      <c r="K44" s="272" t="s">
        <v>1366</v>
      </c>
      <c r="L44" s="244"/>
      <c r="M44" s="244"/>
      <c r="N44" s="1237">
        <v>266650</v>
      </c>
      <c r="O44" s="1225">
        <f>N44*0.6</f>
        <v>159990</v>
      </c>
      <c r="P44" s="1225">
        <f>O44*0.3285</f>
        <v>52556.715000000004</v>
      </c>
      <c r="Q44" s="280" t="s">
        <v>53</v>
      </c>
      <c r="R44" s="268" t="s">
        <v>600</v>
      </c>
      <c r="S44" s="260">
        <f>P44/0.112194</f>
        <v>468444.97031926841</v>
      </c>
      <c r="T44" s="290"/>
      <c r="U44" s="292"/>
      <c r="V44" s="460">
        <v>10000</v>
      </c>
      <c r="W44" s="290"/>
      <c r="X44" s="290"/>
      <c r="Y44" s="290"/>
      <c r="Z44" s="290"/>
      <c r="AA44" s="249"/>
      <c r="AB44" s="239" t="s">
        <v>1005</v>
      </c>
    </row>
    <row r="45" spans="1:28" ht="42.6" customHeight="1">
      <c r="A45" s="241" t="s">
        <v>980</v>
      </c>
      <c r="B45" s="241" t="s">
        <v>33</v>
      </c>
      <c r="C45" s="239" t="s">
        <v>916</v>
      </c>
      <c r="D45" s="492" t="s">
        <v>252</v>
      </c>
      <c r="E45" s="480" t="s">
        <v>35</v>
      </c>
      <c r="F45" s="248">
        <v>2008</v>
      </c>
      <c r="G45" s="239"/>
      <c r="H45" s="239" t="s">
        <v>2282</v>
      </c>
      <c r="I45" s="309" t="s">
        <v>943</v>
      </c>
      <c r="J45" s="239" t="s">
        <v>981</v>
      </c>
      <c r="K45" s="300" t="s">
        <v>982</v>
      </c>
      <c r="L45" s="314">
        <v>10000</v>
      </c>
      <c r="M45" s="250"/>
      <c r="N45" s="333"/>
      <c r="O45" s="333">
        <v>45000</v>
      </c>
      <c r="P45" s="278">
        <f>O45*0.001*365*0.9</f>
        <v>14782.5</v>
      </c>
      <c r="Q45" s="241" t="s">
        <v>583</v>
      </c>
      <c r="R45" s="493" t="s">
        <v>30</v>
      </c>
      <c r="S45" s="260">
        <f>P45/0.112194</f>
        <v>131758.38280121933</v>
      </c>
      <c r="T45" s="314">
        <v>358383</v>
      </c>
      <c r="U45" s="335" t="s">
        <v>983</v>
      </c>
      <c r="V45" s="314">
        <v>15000</v>
      </c>
      <c r="W45" s="897" t="s">
        <v>984</v>
      </c>
      <c r="X45" s="249"/>
      <c r="Y45" s="249" t="s">
        <v>985</v>
      </c>
      <c r="Z45" s="249"/>
      <c r="AA45" s="249" t="s">
        <v>157</v>
      </c>
      <c r="AB45" s="507" t="s">
        <v>979</v>
      </c>
    </row>
    <row r="46" spans="1:28" ht="50.45" customHeight="1">
      <c r="A46" s="241" t="s">
        <v>2322</v>
      </c>
      <c r="B46" s="313" t="s">
        <v>33</v>
      </c>
      <c r="C46" s="239" t="s">
        <v>916</v>
      </c>
      <c r="D46" s="475" t="s">
        <v>965</v>
      </c>
      <c r="E46" s="480" t="s">
        <v>35</v>
      </c>
      <c r="F46" s="381">
        <v>43009</v>
      </c>
      <c r="G46" s="494" t="s">
        <v>781</v>
      </c>
      <c r="H46" s="286" t="s">
        <v>986</v>
      </c>
      <c r="I46" s="239" t="s">
        <v>929</v>
      </c>
      <c r="J46" s="286" t="s">
        <v>952</v>
      </c>
      <c r="K46" s="272" t="s">
        <v>987</v>
      </c>
      <c r="L46" s="455">
        <v>2900</v>
      </c>
      <c r="M46" s="239"/>
      <c r="N46" s="278">
        <f t="shared" ref="N46:N63" si="5">O46/0.6</f>
        <v>18325.195207068497</v>
      </c>
      <c r="O46" s="278">
        <f t="shared" ref="O46:O63" si="6">P46/(0.001*365*0.9)</f>
        <v>10995.117124241096</v>
      </c>
      <c r="P46" s="278">
        <f t="shared" ref="P46:P63" si="7">S46*0.112194</f>
        <v>3611.8959753132003</v>
      </c>
      <c r="Q46" s="360" t="s">
        <v>85</v>
      </c>
      <c r="R46" s="490" t="s">
        <v>0</v>
      </c>
      <c r="S46" s="318">
        <f>280674/10*1.147</f>
        <v>32193.307800000002</v>
      </c>
      <c r="T46" s="482"/>
      <c r="U46" s="248"/>
      <c r="V46" s="273">
        <v>17843</v>
      </c>
      <c r="W46" s="249"/>
      <c r="X46" s="249"/>
      <c r="Y46" s="249"/>
      <c r="Z46" s="249"/>
      <c r="AA46" s="239"/>
      <c r="AB46" s="239" t="s">
        <v>977</v>
      </c>
    </row>
    <row r="47" spans="1:28" ht="80.45" customHeight="1">
      <c r="A47" s="241" t="s">
        <v>2299</v>
      </c>
      <c r="B47" s="313" t="s">
        <v>33</v>
      </c>
      <c r="C47" s="239" t="s">
        <v>916</v>
      </c>
      <c r="D47" s="475" t="s">
        <v>1308</v>
      </c>
      <c r="E47" s="480" t="s">
        <v>35</v>
      </c>
      <c r="F47" s="381">
        <v>43282</v>
      </c>
      <c r="G47" s="494" t="s">
        <v>1344</v>
      </c>
      <c r="H47" s="239" t="s">
        <v>936</v>
      </c>
      <c r="I47" s="239" t="s">
        <v>929</v>
      </c>
      <c r="J47" s="239" t="s">
        <v>924</v>
      </c>
      <c r="K47" s="272" t="s">
        <v>1369</v>
      </c>
      <c r="L47" s="239"/>
      <c r="M47" s="239"/>
      <c r="N47" s="278">
        <f t="shared" si="5"/>
        <v>207626.32768324201</v>
      </c>
      <c r="O47" s="278">
        <f t="shared" si="6"/>
        <v>124575.7966099452</v>
      </c>
      <c r="P47" s="278">
        <f t="shared" si="7"/>
        <v>40923.149186367002</v>
      </c>
      <c r="Q47" s="241" t="s">
        <v>53</v>
      </c>
      <c r="R47" s="490" t="s">
        <v>600</v>
      </c>
      <c r="S47" s="318">
        <f>3180065/10*1.147</f>
        <v>364753.45549999998</v>
      </c>
      <c r="T47" s="239"/>
      <c r="U47" s="239"/>
      <c r="V47" s="273">
        <v>14235</v>
      </c>
      <c r="W47" s="239"/>
      <c r="X47" s="239"/>
      <c r="Y47" s="239"/>
      <c r="Z47" s="239"/>
      <c r="AA47" s="239"/>
      <c r="AB47" s="239" t="s">
        <v>972</v>
      </c>
    </row>
    <row r="48" spans="1:28" ht="68.45" customHeight="1">
      <c r="A48" s="241" t="s">
        <v>2323</v>
      </c>
      <c r="B48" s="313" t="s">
        <v>33</v>
      </c>
      <c r="C48" s="239" t="s">
        <v>916</v>
      </c>
      <c r="D48" s="475" t="s">
        <v>252</v>
      </c>
      <c r="E48" s="480" t="s">
        <v>35</v>
      </c>
      <c r="F48" s="381">
        <v>43282</v>
      </c>
      <c r="G48" s="494" t="s">
        <v>1344</v>
      </c>
      <c r="H48" s="239" t="s">
        <v>951</v>
      </c>
      <c r="I48" s="239" t="s">
        <v>929</v>
      </c>
      <c r="J48" s="239" t="s">
        <v>924</v>
      </c>
      <c r="K48" s="272" t="s">
        <v>1370</v>
      </c>
      <c r="L48" s="239"/>
      <c r="M48" s="239"/>
      <c r="N48" s="278">
        <f t="shared" si="5"/>
        <v>291860.50050429226</v>
      </c>
      <c r="O48" s="278">
        <f t="shared" si="6"/>
        <v>175116.30030257534</v>
      </c>
      <c r="P48" s="278">
        <f t="shared" si="7"/>
        <v>57525.704649396001</v>
      </c>
      <c r="Q48" s="241" t="s">
        <v>85</v>
      </c>
      <c r="R48" s="490" t="s">
        <v>0</v>
      </c>
      <c r="S48" s="318">
        <f>4470220/10*1.147</f>
        <v>512734.234</v>
      </c>
      <c r="T48" s="239"/>
      <c r="U48" s="239"/>
      <c r="V48" s="273">
        <v>33540</v>
      </c>
      <c r="W48" s="239"/>
      <c r="X48" s="239"/>
      <c r="Y48" s="239"/>
      <c r="Z48" s="239"/>
      <c r="AA48" s="239"/>
      <c r="AB48" s="239" t="s">
        <v>972</v>
      </c>
    </row>
    <row r="49" spans="1:28" ht="59.25" customHeight="1">
      <c r="A49" s="287" t="s">
        <v>1373</v>
      </c>
      <c r="B49" s="287" t="s">
        <v>33</v>
      </c>
      <c r="C49" s="286" t="s">
        <v>916</v>
      </c>
      <c r="D49" s="286" t="s">
        <v>252</v>
      </c>
      <c r="E49" s="289" t="s">
        <v>35</v>
      </c>
      <c r="F49" s="890">
        <v>44228</v>
      </c>
      <c r="G49" s="891">
        <v>44957</v>
      </c>
      <c r="H49" s="266" t="s">
        <v>936</v>
      </c>
      <c r="I49" s="272" t="s">
        <v>924</v>
      </c>
      <c r="J49" s="286"/>
      <c r="K49" s="266" t="s">
        <v>1374</v>
      </c>
      <c r="L49" s="499"/>
      <c r="M49" s="499"/>
      <c r="N49" s="1237">
        <v>325000</v>
      </c>
      <c r="O49" s="1225">
        <f>N49*0.6</f>
        <v>195000</v>
      </c>
      <c r="P49" s="1221">
        <v>106317</v>
      </c>
      <c r="Q49" s="280" t="s">
        <v>53</v>
      </c>
      <c r="R49" s="267" t="s">
        <v>108</v>
      </c>
      <c r="S49" s="260">
        <f>P49/0.112194</f>
        <v>947617.51965345733</v>
      </c>
      <c r="T49" s="499"/>
      <c r="U49" s="1395"/>
      <c r="V49" s="275">
        <v>19105</v>
      </c>
      <c r="W49" s="499"/>
      <c r="X49" s="499"/>
      <c r="Y49" s="499"/>
      <c r="Z49" s="324"/>
      <c r="AA49" s="485"/>
      <c r="AB49" s="609" t="s">
        <v>1311</v>
      </c>
    </row>
    <row r="50" spans="1:28" ht="84.95" customHeight="1">
      <c r="A50" s="241" t="s">
        <v>2324</v>
      </c>
      <c r="B50" s="313" t="s">
        <v>33</v>
      </c>
      <c r="C50" s="239" t="s">
        <v>916</v>
      </c>
      <c r="D50" s="475" t="s">
        <v>252</v>
      </c>
      <c r="E50" s="480" t="s">
        <v>35</v>
      </c>
      <c r="F50" s="381">
        <v>43282</v>
      </c>
      <c r="G50" s="494" t="s">
        <v>781</v>
      </c>
      <c r="H50" s="239" t="s">
        <v>951</v>
      </c>
      <c r="I50" s="239" t="s">
        <v>929</v>
      </c>
      <c r="J50" s="239" t="s">
        <v>924</v>
      </c>
      <c r="K50" s="272" t="s">
        <v>988</v>
      </c>
      <c r="L50" s="239"/>
      <c r="M50" s="239"/>
      <c r="N50" s="278">
        <f t="shared" si="5"/>
        <v>70161.769964547959</v>
      </c>
      <c r="O50" s="278">
        <f t="shared" si="6"/>
        <v>42097.061978728772</v>
      </c>
      <c r="P50" s="278">
        <f t="shared" si="7"/>
        <v>13828.884860012402</v>
      </c>
      <c r="Q50" s="241" t="s">
        <v>85</v>
      </c>
      <c r="R50" s="490" t="s">
        <v>0</v>
      </c>
      <c r="S50" s="318">
        <f>1074618/10*1.147</f>
        <v>123258.68460000001</v>
      </c>
      <c r="T50" s="239"/>
      <c r="U50" s="239"/>
      <c r="V50" s="318">
        <v>6162</v>
      </c>
      <c r="W50" s="239"/>
      <c r="X50" s="239"/>
      <c r="Y50" s="239"/>
      <c r="Z50" s="239"/>
      <c r="AA50" s="239"/>
      <c r="AB50" s="239" t="s">
        <v>972</v>
      </c>
    </row>
    <row r="51" spans="1:28" ht="35.1" customHeight="1">
      <c r="A51" s="241" t="s">
        <v>2300</v>
      </c>
      <c r="B51" s="419" t="s">
        <v>33</v>
      </c>
      <c r="C51" s="239" t="s">
        <v>916</v>
      </c>
      <c r="D51" s="475" t="s">
        <v>252</v>
      </c>
      <c r="E51" s="480" t="s">
        <v>35</v>
      </c>
      <c r="F51" s="513"/>
      <c r="G51" s="377" t="s">
        <v>990</v>
      </c>
      <c r="H51" s="239" t="s">
        <v>923</v>
      </c>
      <c r="I51" s="239" t="s">
        <v>952</v>
      </c>
      <c r="J51" s="239" t="s">
        <v>924</v>
      </c>
      <c r="K51" s="272" t="s">
        <v>991</v>
      </c>
      <c r="L51" s="307">
        <v>9185</v>
      </c>
      <c r="M51" s="239"/>
      <c r="N51" s="887">
        <f t="shared" si="5"/>
        <v>22144.527490155248</v>
      </c>
      <c r="O51" s="278">
        <f t="shared" si="6"/>
        <v>13286.716494093149</v>
      </c>
      <c r="P51" s="278">
        <f t="shared" si="7"/>
        <v>4364.6863683095999</v>
      </c>
      <c r="Q51" s="360" t="s">
        <v>53</v>
      </c>
      <c r="R51" s="490" t="s">
        <v>992</v>
      </c>
      <c r="S51" s="460">
        <f>339172/10*1.147</f>
        <v>38903.028399999996</v>
      </c>
      <c r="T51" s="482"/>
      <c r="U51" s="248"/>
      <c r="V51" s="318">
        <v>20342</v>
      </c>
      <c r="W51" s="249"/>
      <c r="X51" s="249"/>
      <c r="Y51" s="249" t="s">
        <v>963</v>
      </c>
      <c r="Z51" s="249"/>
      <c r="AA51" s="239"/>
      <c r="AB51" s="239" t="s">
        <v>989</v>
      </c>
    </row>
    <row r="52" spans="1:28" ht="27.75" customHeight="1">
      <c r="A52" s="241" t="s">
        <v>1376</v>
      </c>
      <c r="B52" s="313" t="s">
        <v>33</v>
      </c>
      <c r="C52" s="239" t="s">
        <v>916</v>
      </c>
      <c r="D52" s="475" t="s">
        <v>965</v>
      </c>
      <c r="E52" s="491" t="s">
        <v>35</v>
      </c>
      <c r="F52" s="1222" t="s">
        <v>1007</v>
      </c>
      <c r="G52" s="239"/>
      <c r="H52" s="272" t="s">
        <v>936</v>
      </c>
      <c r="I52" s="272" t="s">
        <v>924</v>
      </c>
      <c r="J52" s="239"/>
      <c r="K52" s="272" t="s">
        <v>1377</v>
      </c>
      <c r="L52" s="244"/>
      <c r="M52" s="244"/>
      <c r="N52" s="1237">
        <v>150000</v>
      </c>
      <c r="O52" s="1225">
        <f>N52*0.6</f>
        <v>90000</v>
      </c>
      <c r="P52" s="1225">
        <f>O52*0.3285</f>
        <v>29565</v>
      </c>
      <c r="Q52" s="280" t="s">
        <v>53</v>
      </c>
      <c r="R52" s="268" t="s">
        <v>600</v>
      </c>
      <c r="S52" s="260">
        <f>P52/0.112194</f>
        <v>263516.76560243865</v>
      </c>
      <c r="T52" s="290"/>
      <c r="U52" s="292"/>
      <c r="V52" s="896">
        <v>21800</v>
      </c>
      <c r="W52" s="290"/>
      <c r="X52" s="290"/>
      <c r="Y52" s="290"/>
      <c r="Z52" s="290"/>
      <c r="AA52" s="249"/>
      <c r="AB52" s="239" t="s">
        <v>1005</v>
      </c>
    </row>
    <row r="53" spans="1:28" ht="56.45" customHeight="1">
      <c r="A53" s="241" t="s">
        <v>2301</v>
      </c>
      <c r="B53" s="419" t="s">
        <v>33</v>
      </c>
      <c r="C53" s="239" t="s">
        <v>916</v>
      </c>
      <c r="D53" s="475" t="s">
        <v>252</v>
      </c>
      <c r="E53" s="480" t="s">
        <v>35</v>
      </c>
      <c r="F53" s="898">
        <v>43009</v>
      </c>
      <c r="G53" s="239" t="s">
        <v>488</v>
      </c>
      <c r="H53" s="239" t="s">
        <v>961</v>
      </c>
      <c r="I53" s="239" t="s">
        <v>952</v>
      </c>
      <c r="J53" s="239" t="s">
        <v>924</v>
      </c>
      <c r="K53" s="272" t="s">
        <v>994</v>
      </c>
      <c r="L53" s="307">
        <v>2558</v>
      </c>
      <c r="M53" s="239"/>
      <c r="N53" s="887">
        <f t="shared" si="5"/>
        <v>22558.46585855708</v>
      </c>
      <c r="O53" s="278">
        <f t="shared" si="6"/>
        <v>13535.079515134246</v>
      </c>
      <c r="P53" s="278">
        <f t="shared" si="7"/>
        <v>4446.2736207216003</v>
      </c>
      <c r="Q53" s="360" t="s">
        <v>53</v>
      </c>
      <c r="R53" s="490" t="s">
        <v>992</v>
      </c>
      <c r="S53" s="460">
        <f>345512/10*1.147</f>
        <v>39630.2264</v>
      </c>
      <c r="T53" s="482"/>
      <c r="U53" s="248"/>
      <c r="V53" s="318">
        <v>20721</v>
      </c>
      <c r="W53" s="249"/>
      <c r="X53" s="249"/>
      <c r="Y53" s="249" t="s">
        <v>963</v>
      </c>
      <c r="Z53" s="249"/>
      <c r="AA53" s="239"/>
      <c r="AB53" s="239" t="s">
        <v>993</v>
      </c>
    </row>
    <row r="54" spans="1:28" ht="27.75" customHeight="1">
      <c r="A54" s="241" t="s">
        <v>2302</v>
      </c>
      <c r="B54" s="419" t="s">
        <v>33</v>
      </c>
      <c r="C54" s="239" t="s">
        <v>916</v>
      </c>
      <c r="D54" s="475" t="s">
        <v>252</v>
      </c>
      <c r="E54" s="480" t="s">
        <v>35</v>
      </c>
      <c r="F54" s="358">
        <v>43282</v>
      </c>
      <c r="G54" s="239"/>
      <c r="H54" s="239" t="s">
        <v>923</v>
      </c>
      <c r="I54" s="239"/>
      <c r="J54" s="239" t="s">
        <v>924</v>
      </c>
      <c r="K54" s="272" t="s">
        <v>996</v>
      </c>
      <c r="L54" s="885">
        <v>6949</v>
      </c>
      <c r="M54" s="239"/>
      <c r="N54" s="278">
        <f t="shared" si="5"/>
        <v>189730.21811610044</v>
      </c>
      <c r="O54" s="278">
        <f t="shared" si="6"/>
        <v>113838.13086966026</v>
      </c>
      <c r="P54" s="278">
        <f t="shared" si="7"/>
        <v>37395.825990683399</v>
      </c>
      <c r="Q54" s="241" t="s">
        <v>53</v>
      </c>
      <c r="R54" s="490" t="s">
        <v>157</v>
      </c>
      <c r="S54" s="460">
        <f>2905963/10*1.147</f>
        <v>333313.95610000001</v>
      </c>
      <c r="T54" s="239"/>
      <c r="U54" s="239"/>
      <c r="V54" s="318">
        <v>14684</v>
      </c>
      <c r="W54" s="239"/>
      <c r="X54" s="239"/>
      <c r="Y54" s="239"/>
      <c r="Z54" s="239"/>
      <c r="AA54" s="239"/>
      <c r="AB54" s="239" t="s">
        <v>995</v>
      </c>
    </row>
    <row r="55" spans="1:28" ht="51" customHeight="1">
      <c r="A55" s="241" t="s">
        <v>2303</v>
      </c>
      <c r="B55" s="313" t="s">
        <v>33</v>
      </c>
      <c r="C55" s="239" t="s">
        <v>916</v>
      </c>
      <c r="D55" s="475" t="s">
        <v>965</v>
      </c>
      <c r="E55" s="480" t="s">
        <v>35</v>
      </c>
      <c r="F55" s="381">
        <v>43282</v>
      </c>
      <c r="G55" s="239" t="s">
        <v>781</v>
      </c>
      <c r="H55" s="239" t="s">
        <v>936</v>
      </c>
      <c r="I55" s="239"/>
      <c r="J55" s="239" t="s">
        <v>924</v>
      </c>
      <c r="K55" s="239" t="s">
        <v>998</v>
      </c>
      <c r="L55" s="455">
        <v>13400</v>
      </c>
      <c r="M55" s="239"/>
      <c r="N55" s="278">
        <f t="shared" si="5"/>
        <v>345273.24026990868</v>
      </c>
      <c r="O55" s="887">
        <f t="shared" si="6"/>
        <v>207163.9441619452</v>
      </c>
      <c r="P55" s="887">
        <f t="shared" si="7"/>
        <v>68053.355657199005</v>
      </c>
      <c r="Q55" s="241" t="s">
        <v>53</v>
      </c>
      <c r="R55" s="490" t="s">
        <v>108</v>
      </c>
      <c r="S55" s="318">
        <f>5288305/10*1.147</f>
        <v>606568.58350000007</v>
      </c>
      <c r="T55" s="239"/>
      <c r="U55" s="239"/>
      <c r="V55" s="318">
        <v>24770</v>
      </c>
      <c r="W55" s="239"/>
      <c r="X55" s="239"/>
      <c r="Y55" s="239"/>
      <c r="Z55" s="243"/>
      <c r="AA55" s="239"/>
      <c r="AB55" s="239" t="s">
        <v>997</v>
      </c>
    </row>
    <row r="56" spans="1:28" ht="69.599999999999994" customHeight="1">
      <c r="A56" s="241" t="s">
        <v>2325</v>
      </c>
      <c r="B56" s="313" t="s">
        <v>33</v>
      </c>
      <c r="C56" s="239" t="s">
        <v>916</v>
      </c>
      <c r="D56" s="475" t="s">
        <v>842</v>
      </c>
      <c r="E56" s="480" t="s">
        <v>35</v>
      </c>
      <c r="F56" s="381">
        <v>43009</v>
      </c>
      <c r="G56" s="494" t="s">
        <v>999</v>
      </c>
      <c r="H56" s="286" t="s">
        <v>951</v>
      </c>
      <c r="I56" s="239" t="s">
        <v>929</v>
      </c>
      <c r="J56" s="286" t="s">
        <v>924</v>
      </c>
      <c r="K56" s="286" t="s">
        <v>1000</v>
      </c>
      <c r="L56" s="250"/>
      <c r="M56" s="239"/>
      <c r="N56" s="278">
        <f t="shared" si="5"/>
        <v>17482.171198739728</v>
      </c>
      <c r="O56" s="278">
        <f t="shared" si="6"/>
        <v>10489.302719243837</v>
      </c>
      <c r="P56" s="278">
        <f t="shared" si="7"/>
        <v>3445.7359432716003</v>
      </c>
      <c r="Q56" s="360" t="s">
        <v>85</v>
      </c>
      <c r="R56" s="490" t="s">
        <v>0</v>
      </c>
      <c r="S56" s="318">
        <f>267762/10*1.147</f>
        <v>30712.3014</v>
      </c>
      <c r="T56" s="482"/>
      <c r="U56" s="248"/>
      <c r="V56" s="460">
        <v>34817</v>
      </c>
      <c r="W56" s="249"/>
      <c r="X56" s="249"/>
      <c r="Y56" s="249"/>
      <c r="Z56" s="249"/>
      <c r="AA56" s="239"/>
      <c r="AB56" s="239" t="s">
        <v>977</v>
      </c>
    </row>
    <row r="57" spans="1:28" ht="27.75" customHeight="1">
      <c r="A57" s="241" t="s">
        <v>1543</v>
      </c>
      <c r="B57" s="241" t="s">
        <v>33</v>
      </c>
      <c r="C57" s="239" t="s">
        <v>916</v>
      </c>
      <c r="D57" s="475" t="s">
        <v>842</v>
      </c>
      <c r="E57" s="491" t="s">
        <v>35</v>
      </c>
      <c r="F57" s="248"/>
      <c r="G57" s="239"/>
      <c r="H57" s="272" t="s">
        <v>1008</v>
      </c>
      <c r="I57" s="272" t="s">
        <v>924</v>
      </c>
      <c r="J57" s="239"/>
      <c r="K57" s="272" t="s">
        <v>1544</v>
      </c>
      <c r="L57" s="244"/>
      <c r="M57" s="244"/>
      <c r="N57" s="248"/>
      <c r="O57" s="278">
        <f t="shared" si="6"/>
        <v>323643.83561643836</v>
      </c>
      <c r="P57" s="1224">
        <v>106317</v>
      </c>
      <c r="Q57" s="280" t="s">
        <v>85</v>
      </c>
      <c r="R57" s="268" t="s">
        <v>163</v>
      </c>
      <c r="S57" s="260">
        <f>P57/0.112194</f>
        <v>947617.51965345733</v>
      </c>
      <c r="T57" s="244"/>
      <c r="U57" s="488"/>
      <c r="V57" s="273">
        <v>6800</v>
      </c>
      <c r="W57" s="290"/>
      <c r="X57" s="290"/>
      <c r="Y57" s="290"/>
      <c r="Z57" s="290"/>
      <c r="AA57" s="249"/>
      <c r="AB57" s="239" t="s">
        <v>1005</v>
      </c>
    </row>
    <row r="58" spans="1:28" ht="50.25" customHeight="1">
      <c r="A58" s="241" t="s">
        <v>1378</v>
      </c>
      <c r="B58" s="313" t="s">
        <v>33</v>
      </c>
      <c r="C58" s="239" t="s">
        <v>916</v>
      </c>
      <c r="D58" s="475" t="s">
        <v>842</v>
      </c>
      <c r="E58" s="491" t="s">
        <v>35</v>
      </c>
      <c r="F58" s="1222" t="s">
        <v>1007</v>
      </c>
      <c r="G58" s="239"/>
      <c r="H58" s="272" t="s">
        <v>1008</v>
      </c>
      <c r="I58" s="272" t="s">
        <v>924</v>
      </c>
      <c r="J58" s="239"/>
      <c r="K58" s="272" t="s">
        <v>1379</v>
      </c>
      <c r="L58" s="244"/>
      <c r="M58" s="244"/>
      <c r="N58" s="248"/>
      <c r="O58" s="278">
        <f t="shared" si="6"/>
        <v>323643.83561643836</v>
      </c>
      <c r="P58" s="1224">
        <v>106317</v>
      </c>
      <c r="Q58" s="280" t="s">
        <v>85</v>
      </c>
      <c r="R58" s="268" t="s">
        <v>0</v>
      </c>
      <c r="S58" s="260">
        <f>P58/0.112194</f>
        <v>947617.51965345733</v>
      </c>
      <c r="T58" s="244"/>
      <c r="U58" s="488"/>
      <c r="V58" s="460">
        <v>16400</v>
      </c>
      <c r="W58" s="290"/>
      <c r="X58" s="290"/>
      <c r="Y58" s="290"/>
      <c r="Z58" s="290"/>
      <c r="AA58" s="249"/>
      <c r="AB58" s="239" t="s">
        <v>1005</v>
      </c>
    </row>
    <row r="59" spans="1:28" ht="66" customHeight="1">
      <c r="A59" s="241" t="s">
        <v>2304</v>
      </c>
      <c r="B59" s="313" t="s">
        <v>33</v>
      </c>
      <c r="C59" s="239" t="s">
        <v>916</v>
      </c>
      <c r="D59" s="475" t="s">
        <v>842</v>
      </c>
      <c r="E59" s="480" t="s">
        <v>35</v>
      </c>
      <c r="F59" s="381">
        <v>43282</v>
      </c>
      <c r="G59" s="494" t="s">
        <v>1344</v>
      </c>
      <c r="H59" s="239" t="s">
        <v>936</v>
      </c>
      <c r="I59" s="239" t="s">
        <v>929</v>
      </c>
      <c r="J59" s="239" t="s">
        <v>924</v>
      </c>
      <c r="K59" s="239" t="s">
        <v>1380</v>
      </c>
      <c r="L59" s="239"/>
      <c r="M59" s="239"/>
      <c r="N59" s="278">
        <f t="shared" si="5"/>
        <v>238816.77961221008</v>
      </c>
      <c r="O59" s="278">
        <f t="shared" si="6"/>
        <v>143290.06776732605</v>
      </c>
      <c r="P59" s="278">
        <f t="shared" si="7"/>
        <v>47070.787261566606</v>
      </c>
      <c r="Q59" s="241" t="s">
        <v>53</v>
      </c>
      <c r="R59" s="490" t="s">
        <v>600</v>
      </c>
      <c r="S59" s="318">
        <f>3657787/10*1.147</f>
        <v>419548.16890000005</v>
      </c>
      <c r="T59" s="239"/>
      <c r="U59" s="239"/>
      <c r="V59" s="460">
        <v>14735</v>
      </c>
      <c r="W59" s="239"/>
      <c r="X59" s="239"/>
      <c r="Y59" s="239"/>
      <c r="Z59" s="239"/>
      <c r="AA59" s="239"/>
      <c r="AB59" s="239" t="s">
        <v>972</v>
      </c>
    </row>
    <row r="60" spans="1:28" ht="67.349999999999994" customHeight="1">
      <c r="A60" s="241" t="s">
        <v>2338</v>
      </c>
      <c r="B60" s="313" t="s">
        <v>33</v>
      </c>
      <c r="C60" s="239" t="s">
        <v>916</v>
      </c>
      <c r="D60" s="475" t="s">
        <v>252</v>
      </c>
      <c r="E60" s="480" t="s">
        <v>35</v>
      </c>
      <c r="F60" s="381">
        <v>43282</v>
      </c>
      <c r="G60" s="494" t="s">
        <v>781</v>
      </c>
      <c r="H60" s="239" t="s">
        <v>951</v>
      </c>
      <c r="I60" s="239" t="s">
        <v>929</v>
      </c>
      <c r="J60" s="239" t="s">
        <v>924</v>
      </c>
      <c r="K60" s="239" t="s">
        <v>1001</v>
      </c>
      <c r="L60" s="239"/>
      <c r="M60" s="239"/>
      <c r="N60" s="278">
        <f t="shared" si="5"/>
        <v>140985.97189846577</v>
      </c>
      <c r="O60" s="278">
        <f t="shared" si="6"/>
        <v>84591.583139079448</v>
      </c>
      <c r="P60" s="278">
        <f t="shared" si="7"/>
        <v>27788.335061187601</v>
      </c>
      <c r="Q60" s="241" t="s">
        <v>85</v>
      </c>
      <c r="R60" s="490" t="s">
        <v>0</v>
      </c>
      <c r="S60" s="318">
        <f>2159382/10*1.147</f>
        <v>247681.11540000001</v>
      </c>
      <c r="T60" s="239"/>
      <c r="U60" s="239"/>
      <c r="V60" s="460">
        <v>15206</v>
      </c>
      <c r="W60" s="239"/>
      <c r="X60" s="239"/>
      <c r="Y60" s="239"/>
      <c r="Z60" s="239"/>
      <c r="AA60" s="239"/>
      <c r="AB60" s="239" t="s">
        <v>972</v>
      </c>
    </row>
    <row r="61" spans="1:28" ht="85.7" customHeight="1">
      <c r="A61" s="241" t="s">
        <v>2326</v>
      </c>
      <c r="B61" s="313" t="s">
        <v>33</v>
      </c>
      <c r="C61" s="239" t="s">
        <v>916</v>
      </c>
      <c r="D61" s="475" t="s">
        <v>252</v>
      </c>
      <c r="E61" s="480" t="s">
        <v>35</v>
      </c>
      <c r="F61" s="381">
        <v>43282</v>
      </c>
      <c r="G61" s="494" t="s">
        <v>1002</v>
      </c>
      <c r="H61" s="239" t="s">
        <v>951</v>
      </c>
      <c r="I61" s="239" t="s">
        <v>929</v>
      </c>
      <c r="J61" s="239" t="s">
        <v>924</v>
      </c>
      <c r="K61" s="239" t="s">
        <v>1003</v>
      </c>
      <c r="L61" s="239"/>
      <c r="M61" s="239"/>
      <c r="N61" s="278">
        <f t="shared" si="5"/>
        <v>212161.49912581738</v>
      </c>
      <c r="O61" s="278">
        <f t="shared" si="6"/>
        <v>127296.89947549043</v>
      </c>
      <c r="P61" s="278">
        <f t="shared" si="7"/>
        <v>41817.031477698605</v>
      </c>
      <c r="Q61" s="241" t="s">
        <v>85</v>
      </c>
      <c r="R61" s="490" t="s">
        <v>0</v>
      </c>
      <c r="S61" s="318">
        <f>3249527/10*1.147</f>
        <v>372720.74690000003</v>
      </c>
      <c r="T61" s="239"/>
      <c r="U61" s="239"/>
      <c r="V61" s="460">
        <v>19475</v>
      </c>
      <c r="W61" s="239"/>
      <c r="X61" s="239"/>
      <c r="Y61" s="239"/>
      <c r="Z61" s="239"/>
      <c r="AA61" s="239"/>
      <c r="AB61" s="239" t="s">
        <v>972</v>
      </c>
    </row>
    <row r="62" spans="1:28" ht="72" customHeight="1">
      <c r="A62" s="241" t="s">
        <v>2327</v>
      </c>
      <c r="B62" s="313" t="s">
        <v>33</v>
      </c>
      <c r="C62" s="239" t="s">
        <v>916</v>
      </c>
      <c r="D62" s="475" t="s">
        <v>252</v>
      </c>
      <c r="E62" s="480" t="s">
        <v>35</v>
      </c>
      <c r="F62" s="381">
        <v>43009</v>
      </c>
      <c r="G62" s="494" t="s">
        <v>999</v>
      </c>
      <c r="H62" s="286" t="s">
        <v>986</v>
      </c>
      <c r="I62" s="239" t="s">
        <v>929</v>
      </c>
      <c r="J62" s="286" t="s">
        <v>924</v>
      </c>
      <c r="K62" s="286" t="s">
        <v>1004</v>
      </c>
      <c r="L62" s="455">
        <v>5000</v>
      </c>
      <c r="M62" s="239"/>
      <c r="N62" s="278">
        <f t="shared" si="5"/>
        <v>16178.983527872149</v>
      </c>
      <c r="O62" s="278">
        <f t="shared" si="6"/>
        <v>9707.3901167232889</v>
      </c>
      <c r="P62" s="278">
        <f t="shared" si="7"/>
        <v>3188.8776533436003</v>
      </c>
      <c r="Q62" s="360" t="s">
        <v>85</v>
      </c>
      <c r="R62" s="490" t="s">
        <v>0</v>
      </c>
      <c r="S62" s="318">
        <f>247802/10*1.147</f>
        <v>28422.8894</v>
      </c>
      <c r="T62" s="482"/>
      <c r="U62" s="248"/>
      <c r="V62" s="460">
        <v>15483</v>
      </c>
      <c r="W62" s="249"/>
      <c r="X62" s="249"/>
      <c r="Y62" s="249"/>
      <c r="Z62" s="249"/>
      <c r="AA62" s="239"/>
      <c r="AB62" s="239" t="s">
        <v>977</v>
      </c>
    </row>
    <row r="63" spans="1:28" ht="43.7" customHeight="1">
      <c r="A63" s="241" t="s">
        <v>1006</v>
      </c>
      <c r="B63" s="313" t="s">
        <v>33</v>
      </c>
      <c r="C63" s="239" t="s">
        <v>916</v>
      </c>
      <c r="D63" s="475" t="s">
        <v>842</v>
      </c>
      <c r="E63" s="491" t="s">
        <v>35</v>
      </c>
      <c r="F63" s="1222" t="s">
        <v>1007</v>
      </c>
      <c r="G63" s="239" t="s">
        <v>754</v>
      </c>
      <c r="H63" s="272" t="s">
        <v>1008</v>
      </c>
      <c r="I63" s="272" t="s">
        <v>924</v>
      </c>
      <c r="J63" s="239"/>
      <c r="K63" s="272" t="s">
        <v>1009</v>
      </c>
      <c r="L63" s="244"/>
      <c r="M63" s="244"/>
      <c r="N63" s="278">
        <f t="shared" si="5"/>
        <v>1047083.6622831051</v>
      </c>
      <c r="O63" s="278">
        <f t="shared" si="6"/>
        <v>628250.19736986305</v>
      </c>
      <c r="P63" s="278">
        <f t="shared" si="7"/>
        <v>206380.18983600001</v>
      </c>
      <c r="Q63" s="280" t="s">
        <v>85</v>
      </c>
      <c r="R63" s="268" t="s">
        <v>0</v>
      </c>
      <c r="S63" s="318">
        <v>1839494</v>
      </c>
      <c r="T63" s="290"/>
      <c r="U63" s="292"/>
      <c r="V63" s="460">
        <v>17100</v>
      </c>
      <c r="W63" s="290"/>
      <c r="X63" s="290"/>
      <c r="Y63" s="290"/>
      <c r="Z63" s="290"/>
      <c r="AA63" s="249"/>
      <c r="AB63" s="239" t="s">
        <v>1005</v>
      </c>
    </row>
    <row r="64" spans="1:28" ht="49.7" customHeight="1">
      <c r="A64" s="241" t="s">
        <v>1383</v>
      </c>
      <c r="B64" s="313" t="s">
        <v>33</v>
      </c>
      <c r="C64" s="239" t="s">
        <v>916</v>
      </c>
      <c r="D64" s="475" t="s">
        <v>252</v>
      </c>
      <c r="E64" s="491" t="s">
        <v>35</v>
      </c>
      <c r="F64" s="1222" t="s">
        <v>1007</v>
      </c>
      <c r="G64" s="239"/>
      <c r="H64" s="272" t="s">
        <v>1337</v>
      </c>
      <c r="I64" s="272" t="s">
        <v>924</v>
      </c>
      <c r="J64" s="239"/>
      <c r="K64" s="272" t="s">
        <v>1384</v>
      </c>
      <c r="L64" s="244"/>
      <c r="M64" s="244"/>
      <c r="N64" s="1237">
        <v>325000</v>
      </c>
      <c r="O64" s="1225">
        <f>N64*0.6</f>
        <v>195000</v>
      </c>
      <c r="P64" s="1225">
        <f>O64*0.3285</f>
        <v>64057.5</v>
      </c>
      <c r="Q64" s="280" t="s">
        <v>53</v>
      </c>
      <c r="R64" s="268" t="s">
        <v>600</v>
      </c>
      <c r="S64" s="260">
        <f>P64/0.112194</f>
        <v>570952.99213861697</v>
      </c>
      <c r="T64" s="290"/>
      <c r="U64" s="292"/>
      <c r="V64" s="460">
        <v>17000</v>
      </c>
      <c r="W64" s="244"/>
      <c r="X64" s="244"/>
      <c r="Y64" s="244"/>
      <c r="Z64" s="244"/>
      <c r="AA64" s="249"/>
      <c r="AB64" s="239" t="s">
        <v>1005</v>
      </c>
    </row>
    <row r="65" spans="1:28" ht="48" customHeight="1">
      <c r="A65" s="241" t="s">
        <v>1011</v>
      </c>
      <c r="B65" s="313" t="s">
        <v>33</v>
      </c>
      <c r="C65" s="239" t="s">
        <v>916</v>
      </c>
      <c r="D65" s="475" t="s">
        <v>252</v>
      </c>
      <c r="E65" s="480" t="s">
        <v>35</v>
      </c>
      <c r="F65" s="513"/>
      <c r="G65" s="239" t="s">
        <v>781</v>
      </c>
      <c r="H65" s="239" t="s">
        <v>961</v>
      </c>
      <c r="I65" s="307" t="s">
        <v>1012</v>
      </c>
      <c r="J65" s="307" t="s">
        <v>924</v>
      </c>
      <c r="K65" s="272" t="s">
        <v>1013</v>
      </c>
      <c r="L65" s="307">
        <v>11209</v>
      </c>
      <c r="M65" s="239"/>
      <c r="N65" s="278">
        <f>O65/0.6</f>
        <v>27991.374298849314</v>
      </c>
      <c r="O65" s="887">
        <f>P65/(0.001*365*0.9)</f>
        <v>16794.824579309588</v>
      </c>
      <c r="P65" s="887">
        <f>S65*0.112194</f>
        <v>5517.0998743032005</v>
      </c>
      <c r="Q65" s="360" t="s">
        <v>53</v>
      </c>
      <c r="R65" s="490" t="s">
        <v>157</v>
      </c>
      <c r="S65" s="318">
        <f>428724/10*1.147</f>
        <v>49174.642800000001</v>
      </c>
      <c r="T65" s="482"/>
      <c r="U65" s="248"/>
      <c r="V65" s="460">
        <v>21262</v>
      </c>
      <c r="W65" s="249"/>
      <c r="X65" s="249"/>
      <c r="Y65" s="249" t="s">
        <v>963</v>
      </c>
      <c r="Z65" s="243"/>
      <c r="AA65" s="239"/>
      <c r="AB65" s="507" t="s">
        <v>1010</v>
      </c>
    </row>
    <row r="66" spans="1:28" ht="99" customHeight="1">
      <c r="A66" s="241" t="s">
        <v>1389</v>
      </c>
      <c r="B66" s="313" t="s">
        <v>33</v>
      </c>
      <c r="C66" s="239" t="s">
        <v>916</v>
      </c>
      <c r="D66" s="475" t="s">
        <v>965</v>
      </c>
      <c r="E66" s="491" t="s">
        <v>35</v>
      </c>
      <c r="F66" s="1222" t="s">
        <v>1007</v>
      </c>
      <c r="G66" s="239"/>
      <c r="H66" s="272" t="s">
        <v>936</v>
      </c>
      <c r="I66" s="272" t="s">
        <v>924</v>
      </c>
      <c r="J66" s="239"/>
      <c r="K66" s="272" t="s">
        <v>1390</v>
      </c>
      <c r="L66" s="244"/>
      <c r="M66" s="244"/>
      <c r="N66" s="1237">
        <v>325000</v>
      </c>
      <c r="O66" s="1225">
        <f>N66*0.6</f>
        <v>195000</v>
      </c>
      <c r="P66" s="1225">
        <f>O66*0.3285</f>
        <v>64057.5</v>
      </c>
      <c r="Q66" s="280" t="s">
        <v>53</v>
      </c>
      <c r="R66" s="268" t="s">
        <v>600</v>
      </c>
      <c r="S66" s="260">
        <f>P66/0.112194</f>
        <v>570952.99213861697</v>
      </c>
      <c r="T66" s="290"/>
      <c r="U66" s="292"/>
      <c r="V66" s="460">
        <v>13100</v>
      </c>
      <c r="W66" s="244"/>
      <c r="X66" s="244"/>
      <c r="Y66" s="244"/>
      <c r="Z66" s="324"/>
      <c r="AA66" s="249"/>
      <c r="AB66" s="239" t="s">
        <v>1005</v>
      </c>
    </row>
    <row r="67" spans="1:28" ht="33" customHeight="1">
      <c r="A67" s="241" t="s">
        <v>2305</v>
      </c>
      <c r="B67" s="419" t="s">
        <v>33</v>
      </c>
      <c r="C67" s="239" t="s">
        <v>916</v>
      </c>
      <c r="D67" s="475" t="s">
        <v>252</v>
      </c>
      <c r="E67" s="480" t="s">
        <v>35</v>
      </c>
      <c r="F67" s="513"/>
      <c r="G67" s="239" t="s">
        <v>488</v>
      </c>
      <c r="H67" s="239" t="s">
        <v>961</v>
      </c>
      <c r="I67" s="239" t="s">
        <v>943</v>
      </c>
      <c r="J67" s="239" t="s">
        <v>952</v>
      </c>
      <c r="K67" s="272" t="s">
        <v>1014</v>
      </c>
      <c r="L67" s="503">
        <v>2655</v>
      </c>
      <c r="M67" s="239"/>
      <c r="N67" s="278">
        <f>O67/0.6</f>
        <v>17148.735355296805</v>
      </c>
      <c r="O67" s="278">
        <f>P67/(0.001*365*0.9)</f>
        <v>10289.241213178082</v>
      </c>
      <c r="P67" s="278">
        <f>S67*0.112194</f>
        <v>3380.0157385289999</v>
      </c>
      <c r="Q67" s="280" t="s">
        <v>53</v>
      </c>
      <c r="R67" s="490" t="s">
        <v>157</v>
      </c>
      <c r="S67" s="318">
        <f>262655/10*1.147</f>
        <v>30126.5285</v>
      </c>
      <c r="T67" s="482"/>
      <c r="U67" s="248" t="s">
        <v>1015</v>
      </c>
      <c r="V67" s="460">
        <v>13259</v>
      </c>
      <c r="W67" s="249"/>
      <c r="X67" s="249"/>
      <c r="Y67" s="249" t="s">
        <v>963</v>
      </c>
      <c r="Z67" s="249"/>
      <c r="AA67" s="249"/>
      <c r="AB67" s="239" t="s">
        <v>959</v>
      </c>
    </row>
    <row r="68" spans="1:28" ht="63" customHeight="1">
      <c r="A68" s="241" t="s">
        <v>2329</v>
      </c>
      <c r="B68" s="313" t="s">
        <v>33</v>
      </c>
      <c r="C68" s="239" t="s">
        <v>916</v>
      </c>
      <c r="D68" s="475" t="s">
        <v>252</v>
      </c>
      <c r="E68" s="480" t="s">
        <v>35</v>
      </c>
      <c r="F68" s="381">
        <v>43282</v>
      </c>
      <c r="G68" s="494" t="s">
        <v>1016</v>
      </c>
      <c r="H68" s="239" t="s">
        <v>951</v>
      </c>
      <c r="I68" s="239" t="s">
        <v>929</v>
      </c>
      <c r="J68" s="239" t="s">
        <v>924</v>
      </c>
      <c r="K68" s="239" t="s">
        <v>1017</v>
      </c>
      <c r="L68" s="239"/>
      <c r="M68" s="239"/>
      <c r="N68" s="278">
        <f>O68/0.6</f>
        <v>187018.00774357992</v>
      </c>
      <c r="O68" s="278">
        <f>P68/(0.001*365*0.9)</f>
        <v>112210.80464614795</v>
      </c>
      <c r="P68" s="278">
        <f>S68*0.112194</f>
        <v>36861.249326259604</v>
      </c>
      <c r="Q68" s="241" t="s">
        <v>85</v>
      </c>
      <c r="R68" s="490" t="s">
        <v>0</v>
      </c>
      <c r="S68" s="318">
        <f>2864422/10*1.147</f>
        <v>328549.2034</v>
      </c>
      <c r="T68" s="239"/>
      <c r="U68" s="239"/>
      <c r="V68" s="460">
        <v>17296</v>
      </c>
      <c r="W68" s="239"/>
      <c r="X68" s="239"/>
      <c r="Y68" s="239"/>
      <c r="Z68" s="239"/>
      <c r="AA68" s="239"/>
      <c r="AB68" s="239" t="s">
        <v>972</v>
      </c>
    </row>
    <row r="69" spans="1:28" ht="79.349999999999994" customHeight="1">
      <c r="A69" s="241" t="s">
        <v>2328</v>
      </c>
      <c r="B69" s="313" t="s">
        <v>33</v>
      </c>
      <c r="C69" s="239" t="s">
        <v>916</v>
      </c>
      <c r="D69" s="475" t="s">
        <v>252</v>
      </c>
      <c r="E69" s="480" t="s">
        <v>35</v>
      </c>
      <c r="F69" s="248"/>
      <c r="G69" s="239" t="s">
        <v>781</v>
      </c>
      <c r="H69" s="239"/>
      <c r="I69" s="239"/>
      <c r="J69" s="239"/>
      <c r="K69" s="272" t="s">
        <v>1019</v>
      </c>
      <c r="L69" s="239"/>
      <c r="M69" s="239"/>
      <c r="N69" s="278">
        <f>O69/0.6</f>
        <v>213721.88547945206</v>
      </c>
      <c r="O69" s="278">
        <f>P69/(0.001*365*0.9)</f>
        <v>128233.13128767123</v>
      </c>
      <c r="P69" s="278">
        <f>S69*0.112194</f>
        <v>42124.583628</v>
      </c>
      <c r="Q69" s="241" t="s">
        <v>85</v>
      </c>
      <c r="R69" s="538" t="s">
        <v>0</v>
      </c>
      <c r="S69" s="318">
        <v>375462</v>
      </c>
      <c r="T69" s="239"/>
      <c r="U69" s="239"/>
      <c r="V69" s="460">
        <v>23625</v>
      </c>
      <c r="W69" s="239"/>
      <c r="X69" s="239"/>
      <c r="Y69" s="239"/>
      <c r="Z69" s="239"/>
      <c r="AA69" s="239"/>
      <c r="AB69" s="239" t="s">
        <v>1018</v>
      </c>
    </row>
    <row r="70" spans="1:28" ht="71.45" customHeight="1">
      <c r="A70" s="241" t="s">
        <v>2306</v>
      </c>
      <c r="B70" s="313" t="s">
        <v>33</v>
      </c>
      <c r="C70" s="239" t="s">
        <v>916</v>
      </c>
      <c r="D70" s="475" t="s">
        <v>1308</v>
      </c>
      <c r="E70" s="480" t="s">
        <v>35</v>
      </c>
      <c r="F70" s="381">
        <v>43282</v>
      </c>
      <c r="G70" s="494" t="s">
        <v>1344</v>
      </c>
      <c r="H70" s="239" t="s">
        <v>936</v>
      </c>
      <c r="I70" s="239" t="s">
        <v>929</v>
      </c>
      <c r="J70" s="239" t="s">
        <v>924</v>
      </c>
      <c r="K70" s="239" t="s">
        <v>1391</v>
      </c>
      <c r="L70" s="239"/>
      <c r="M70" s="239"/>
      <c r="N70" s="278">
        <f t="shared" ref="N70:N80" si="8">O70/0.6</f>
        <v>278343.91110681277</v>
      </c>
      <c r="O70" s="278">
        <f t="shared" ref="O70:O82" si="9">P70/(0.001*365*0.9)</f>
        <v>167006.34666408764</v>
      </c>
      <c r="P70" s="278">
        <f t="shared" ref="P70:P80" si="10">S70*0.112194</f>
        <v>54861.584879152797</v>
      </c>
      <c r="Q70" s="241" t="s">
        <v>53</v>
      </c>
      <c r="R70" s="490" t="s">
        <v>108</v>
      </c>
      <c r="S70" s="318">
        <f>4263196/10*1.147</f>
        <v>488988.58119999996</v>
      </c>
      <c r="T70" s="239"/>
      <c r="U70" s="239"/>
      <c r="V70" s="460">
        <v>15624</v>
      </c>
      <c r="W70" s="239"/>
      <c r="X70" s="239"/>
      <c r="Y70" s="239"/>
      <c r="Z70" s="239"/>
      <c r="AA70" s="239"/>
      <c r="AB70" s="239" t="s">
        <v>972</v>
      </c>
    </row>
    <row r="71" spans="1:28" ht="30" customHeight="1">
      <c r="A71" s="241" t="s">
        <v>1392</v>
      </c>
      <c r="B71" s="313" t="s">
        <v>33</v>
      </c>
      <c r="C71" s="239" t="s">
        <v>916</v>
      </c>
      <c r="D71" s="475" t="s">
        <v>252</v>
      </c>
      <c r="E71" s="491" t="s">
        <v>35</v>
      </c>
      <c r="F71" s="1222" t="s">
        <v>1007</v>
      </c>
      <c r="G71" s="239"/>
      <c r="H71" s="272" t="s">
        <v>1008</v>
      </c>
      <c r="I71" s="272" t="s">
        <v>924</v>
      </c>
      <c r="J71" s="239"/>
      <c r="K71" s="272" t="s">
        <v>1393</v>
      </c>
      <c r="L71" s="244"/>
      <c r="M71" s="244"/>
      <c r="N71" s="248"/>
      <c r="O71" s="278">
        <f t="shared" si="9"/>
        <v>323643.83561643836</v>
      </c>
      <c r="P71" s="1224">
        <v>106317</v>
      </c>
      <c r="Q71" s="280" t="s">
        <v>85</v>
      </c>
      <c r="R71" s="268" t="s">
        <v>0</v>
      </c>
      <c r="S71" s="260">
        <f>P71/0.112194</f>
        <v>947617.51965345733</v>
      </c>
      <c r="T71" s="290"/>
      <c r="U71" s="292"/>
      <c r="V71" s="460">
        <v>76343</v>
      </c>
      <c r="W71" s="290"/>
      <c r="X71" s="290"/>
      <c r="Y71" s="290"/>
      <c r="Z71" s="290"/>
      <c r="AA71" s="249"/>
      <c r="AB71" s="239" t="s">
        <v>1005</v>
      </c>
    </row>
    <row r="72" spans="1:28" ht="38.25" customHeight="1">
      <c r="A72" s="241" t="s">
        <v>1394</v>
      </c>
      <c r="B72" s="313" t="s">
        <v>33</v>
      </c>
      <c r="C72" s="239" t="s">
        <v>916</v>
      </c>
      <c r="D72" s="475" t="s">
        <v>252</v>
      </c>
      <c r="E72" s="491" t="s">
        <v>35</v>
      </c>
      <c r="F72" s="1222" t="s">
        <v>1007</v>
      </c>
      <c r="G72" s="239"/>
      <c r="H72" s="272" t="s">
        <v>1008</v>
      </c>
      <c r="I72" s="272" t="s">
        <v>924</v>
      </c>
      <c r="J72" s="239"/>
      <c r="K72" s="272" t="s">
        <v>1395</v>
      </c>
      <c r="L72" s="244"/>
      <c r="M72" s="244"/>
      <c r="N72" s="248"/>
      <c r="O72" s="278">
        <f t="shared" si="9"/>
        <v>323643.83561643836</v>
      </c>
      <c r="P72" s="1224">
        <v>106317</v>
      </c>
      <c r="Q72" s="280" t="s">
        <v>85</v>
      </c>
      <c r="R72" s="268" t="s">
        <v>0</v>
      </c>
      <c r="S72" s="260">
        <f>P72/0.112194</f>
        <v>947617.51965345733</v>
      </c>
      <c r="T72" s="290"/>
      <c r="U72" s="292"/>
      <c r="V72" s="460">
        <v>13200</v>
      </c>
      <c r="W72" s="290"/>
      <c r="X72" s="290"/>
      <c r="Y72" s="290"/>
      <c r="Z72" s="290"/>
      <c r="AA72" s="249"/>
      <c r="AB72" s="239" t="s">
        <v>1005</v>
      </c>
    </row>
    <row r="73" spans="1:28" ht="53.25" customHeight="1">
      <c r="A73" s="241" t="s">
        <v>2307</v>
      </c>
      <c r="B73" s="313" t="s">
        <v>33</v>
      </c>
      <c r="C73" s="239" t="s">
        <v>916</v>
      </c>
      <c r="D73" s="475" t="s">
        <v>965</v>
      </c>
      <c r="E73" s="480" t="s">
        <v>35</v>
      </c>
      <c r="F73" s="248"/>
      <c r="G73" s="239" t="s">
        <v>781</v>
      </c>
      <c r="H73" s="272" t="s">
        <v>936</v>
      </c>
      <c r="I73" s="239"/>
      <c r="J73" s="272" t="s">
        <v>924</v>
      </c>
      <c r="K73" s="272" t="s">
        <v>1020</v>
      </c>
      <c r="L73" s="307">
        <v>13800</v>
      </c>
      <c r="M73" s="239"/>
      <c r="N73" s="278">
        <f t="shared" si="8"/>
        <v>350066.30706819176</v>
      </c>
      <c r="O73" s="887">
        <f t="shared" si="9"/>
        <v>210039.78424091503</v>
      </c>
      <c r="P73" s="887">
        <f t="shared" si="10"/>
        <v>68998.069123140594</v>
      </c>
      <c r="Q73" s="241" t="s">
        <v>53</v>
      </c>
      <c r="R73" s="490" t="s">
        <v>108</v>
      </c>
      <c r="S73" s="318">
        <f>5361717/10*1.147</f>
        <v>614988.9399</v>
      </c>
      <c r="T73" s="239"/>
      <c r="U73" s="239"/>
      <c r="V73" s="460">
        <v>18788</v>
      </c>
      <c r="W73" s="239"/>
      <c r="X73" s="239"/>
      <c r="Y73" s="239"/>
      <c r="Z73" s="243"/>
      <c r="AA73" s="239"/>
      <c r="AB73" s="239" t="s">
        <v>997</v>
      </c>
    </row>
    <row r="74" spans="1:28" ht="69.599999999999994" customHeight="1">
      <c r="A74" s="241" t="s">
        <v>2341</v>
      </c>
      <c r="B74" s="313" t="s">
        <v>33</v>
      </c>
      <c r="C74" s="239" t="s">
        <v>916</v>
      </c>
      <c r="D74" s="475" t="s">
        <v>252</v>
      </c>
      <c r="E74" s="480" t="s">
        <v>35</v>
      </c>
      <c r="F74" s="381">
        <v>43282</v>
      </c>
      <c r="G74" s="494" t="s">
        <v>781</v>
      </c>
      <c r="H74" s="239" t="s">
        <v>951</v>
      </c>
      <c r="I74" s="239" t="s">
        <v>929</v>
      </c>
      <c r="J74" s="239" t="s">
        <v>924</v>
      </c>
      <c r="K74" s="272" t="s">
        <v>1021</v>
      </c>
      <c r="L74" s="239"/>
      <c r="M74" s="239"/>
      <c r="N74" s="278">
        <f t="shared" si="8"/>
        <v>265823.25481210958</v>
      </c>
      <c r="O74" s="278">
        <f t="shared" si="9"/>
        <v>159493.95288726574</v>
      </c>
      <c r="P74" s="278">
        <f t="shared" si="10"/>
        <v>52393.763523466798</v>
      </c>
      <c r="Q74" s="241" t="s">
        <v>85</v>
      </c>
      <c r="R74" s="490" t="s">
        <v>0</v>
      </c>
      <c r="S74" s="318">
        <f>4071426/10*1.147</f>
        <v>466992.56219999999</v>
      </c>
      <c r="T74" s="239"/>
      <c r="U74" s="239"/>
      <c r="V74" s="460">
        <v>24593</v>
      </c>
      <c r="W74" s="239"/>
      <c r="X74" s="239"/>
      <c r="Y74" s="239"/>
      <c r="Z74" s="239"/>
      <c r="AA74" s="239"/>
      <c r="AB74" s="239" t="s">
        <v>972</v>
      </c>
    </row>
    <row r="75" spans="1:28" ht="56.45" customHeight="1">
      <c r="A75" s="241" t="s">
        <v>2308</v>
      </c>
      <c r="B75" s="419" t="s">
        <v>33</v>
      </c>
      <c r="C75" s="239" t="s">
        <v>916</v>
      </c>
      <c r="D75" s="475" t="s">
        <v>252</v>
      </c>
      <c r="E75" s="480" t="s">
        <v>35</v>
      </c>
      <c r="F75" s="248"/>
      <c r="G75" s="346">
        <v>43770</v>
      </c>
      <c r="H75" s="239" t="s">
        <v>923</v>
      </c>
      <c r="I75" s="239"/>
      <c r="J75" s="239" t="s">
        <v>924</v>
      </c>
      <c r="K75" s="272" t="s">
        <v>1023</v>
      </c>
      <c r="L75" s="894">
        <v>6640</v>
      </c>
      <c r="M75" s="239"/>
      <c r="N75" s="887">
        <f t="shared" si="8"/>
        <v>117371.96320048401</v>
      </c>
      <c r="O75" s="887">
        <f t="shared" si="9"/>
        <v>70423.1779202904</v>
      </c>
      <c r="P75" s="887">
        <f t="shared" si="10"/>
        <v>23134.013946815398</v>
      </c>
      <c r="Q75" s="331" t="s">
        <v>53</v>
      </c>
      <c r="R75" s="895" t="s">
        <v>108</v>
      </c>
      <c r="S75" s="318">
        <f>1797703/10*1.147</f>
        <v>206196.53409999999</v>
      </c>
      <c r="T75" s="239"/>
      <c r="U75" s="239"/>
      <c r="V75" s="460">
        <v>9009</v>
      </c>
      <c r="W75" s="239" t="s">
        <v>1024</v>
      </c>
      <c r="X75" s="239"/>
      <c r="Y75" s="239"/>
      <c r="Z75" s="239"/>
      <c r="AA75" s="239"/>
      <c r="AB75" s="239" t="s">
        <v>1022</v>
      </c>
    </row>
    <row r="76" spans="1:28" ht="73.349999999999994" customHeight="1">
      <c r="A76" s="241" t="s">
        <v>2330</v>
      </c>
      <c r="B76" s="313" t="s">
        <v>33</v>
      </c>
      <c r="C76" s="239" t="s">
        <v>916</v>
      </c>
      <c r="D76" s="475" t="s">
        <v>252</v>
      </c>
      <c r="E76" s="480" t="s">
        <v>35</v>
      </c>
      <c r="F76" s="381">
        <v>43282</v>
      </c>
      <c r="G76" s="494" t="s">
        <v>1002</v>
      </c>
      <c r="H76" s="272" t="s">
        <v>951</v>
      </c>
      <c r="I76" s="272" t="s">
        <v>929</v>
      </c>
      <c r="J76" s="272" t="s">
        <v>924</v>
      </c>
      <c r="K76" s="272" t="s">
        <v>1025</v>
      </c>
      <c r="L76" s="239"/>
      <c r="M76" s="239"/>
      <c r="N76" s="278">
        <f t="shared" si="8"/>
        <v>134329.98657248402</v>
      </c>
      <c r="O76" s="278">
        <f t="shared" si="9"/>
        <v>80597.991943490415</v>
      </c>
      <c r="P76" s="278">
        <f t="shared" si="10"/>
        <v>26476.440353436603</v>
      </c>
      <c r="Q76" s="241" t="s">
        <v>85</v>
      </c>
      <c r="R76" s="490" t="s">
        <v>0</v>
      </c>
      <c r="S76" s="318">
        <f>2057437/10*1.147</f>
        <v>235988.02390000003</v>
      </c>
      <c r="T76" s="239"/>
      <c r="U76" s="239"/>
      <c r="V76" s="460">
        <v>14044</v>
      </c>
      <c r="W76" s="239"/>
      <c r="X76" s="239"/>
      <c r="Y76" s="239"/>
      <c r="Z76" s="239"/>
      <c r="AA76" s="239"/>
      <c r="AB76" s="239" t="s">
        <v>972</v>
      </c>
    </row>
    <row r="77" spans="1:28" ht="57" customHeight="1">
      <c r="A77" s="241" t="s">
        <v>1398</v>
      </c>
      <c r="B77" s="313" t="s">
        <v>33</v>
      </c>
      <c r="C77" s="239" t="s">
        <v>916</v>
      </c>
      <c r="D77" s="475" t="s">
        <v>965</v>
      </c>
      <c r="E77" s="480" t="s">
        <v>35</v>
      </c>
      <c r="F77" s="381">
        <v>43282</v>
      </c>
      <c r="G77" s="239" t="s">
        <v>1340</v>
      </c>
      <c r="H77" s="272" t="s">
        <v>951</v>
      </c>
      <c r="I77" s="272" t="s">
        <v>929</v>
      </c>
      <c r="J77" s="272" t="s">
        <v>924</v>
      </c>
      <c r="K77" s="272" t="s">
        <v>1399</v>
      </c>
      <c r="L77" s="239"/>
      <c r="M77" s="239"/>
      <c r="N77" s="278">
        <f>O77/0.6</f>
        <v>132373.63810705935</v>
      </c>
      <c r="O77" s="278">
        <f>P77/(0.001*365*0.9)</f>
        <v>79424.182864235612</v>
      </c>
      <c r="P77" s="278">
        <f>S77*0.112194</f>
        <v>26090.844070901399</v>
      </c>
      <c r="Q77" s="241" t="s">
        <v>85</v>
      </c>
      <c r="R77" s="490" t="s">
        <v>0</v>
      </c>
      <c r="S77" s="318">
        <f>2027473/10*1.147</f>
        <v>232551.1531</v>
      </c>
      <c r="T77" s="239"/>
      <c r="U77" s="239"/>
      <c r="V77" s="273">
        <v>16750</v>
      </c>
      <c r="W77" s="239"/>
      <c r="X77" s="239"/>
      <c r="Y77" s="239"/>
      <c r="Z77" s="239"/>
      <c r="AA77" s="239"/>
      <c r="AB77" s="239" t="s">
        <v>997</v>
      </c>
    </row>
    <row r="78" spans="1:28" ht="73.349999999999994" customHeight="1">
      <c r="A78" s="241" t="s">
        <v>2309</v>
      </c>
      <c r="B78" s="313" t="s">
        <v>33</v>
      </c>
      <c r="C78" s="239" t="s">
        <v>916</v>
      </c>
      <c r="D78" s="475" t="s">
        <v>1308</v>
      </c>
      <c r="E78" s="480" t="s">
        <v>35</v>
      </c>
      <c r="F78" s="248" t="s">
        <v>1036</v>
      </c>
      <c r="G78" s="239" t="s">
        <v>1400</v>
      </c>
      <c r="H78" s="272" t="s">
        <v>936</v>
      </c>
      <c r="I78" s="272" t="s">
        <v>929</v>
      </c>
      <c r="J78" s="272" t="s">
        <v>924</v>
      </c>
      <c r="K78" s="272" t="s">
        <v>1401</v>
      </c>
      <c r="L78" s="239"/>
      <c r="M78" s="239"/>
      <c r="N78" s="278">
        <f t="shared" si="8"/>
        <v>233339.01696701371</v>
      </c>
      <c r="O78" s="278">
        <f t="shared" si="9"/>
        <v>140003.41018020822</v>
      </c>
      <c r="P78" s="278">
        <f t="shared" si="10"/>
        <v>45991.120244198399</v>
      </c>
      <c r="Q78" s="241" t="s">
        <v>53</v>
      </c>
      <c r="R78" s="538" t="s">
        <v>600</v>
      </c>
      <c r="S78" s="318">
        <f>3573888/10*1.147</f>
        <v>409924.95360000001</v>
      </c>
      <c r="T78" s="239"/>
      <c r="U78" s="239"/>
      <c r="V78" s="273">
        <v>12466</v>
      </c>
      <c r="W78" s="239"/>
      <c r="X78" s="239"/>
      <c r="Y78" s="239"/>
      <c r="Z78" s="239"/>
      <c r="AA78" s="239"/>
      <c r="AB78" s="239" t="s">
        <v>972</v>
      </c>
    </row>
    <row r="79" spans="1:28" ht="42.75" customHeight="1">
      <c r="A79" s="241" t="s">
        <v>2332</v>
      </c>
      <c r="B79" s="313" t="s">
        <v>33</v>
      </c>
      <c r="C79" s="239" t="s">
        <v>1026</v>
      </c>
      <c r="D79" s="475" t="s">
        <v>252</v>
      </c>
      <c r="E79" s="480" t="s">
        <v>35</v>
      </c>
      <c r="F79" s="381">
        <v>43009</v>
      </c>
      <c r="G79" s="363" t="s">
        <v>999</v>
      </c>
      <c r="H79" s="286" t="s">
        <v>951</v>
      </c>
      <c r="I79" s="286" t="s">
        <v>952</v>
      </c>
      <c r="J79" s="286" t="s">
        <v>952</v>
      </c>
      <c r="K79" s="272" t="s">
        <v>1027</v>
      </c>
      <c r="L79" s="250"/>
      <c r="M79" s="239"/>
      <c r="N79" s="278">
        <f t="shared" si="8"/>
        <v>19172.658932913244</v>
      </c>
      <c r="O79" s="278">
        <f t="shared" si="9"/>
        <v>11503.595359747946</v>
      </c>
      <c r="P79" s="278">
        <f t="shared" si="10"/>
        <v>3778.9310756772002</v>
      </c>
      <c r="Q79" s="360" t="s">
        <v>85</v>
      </c>
      <c r="R79" s="662" t="s">
        <v>0</v>
      </c>
      <c r="S79" s="318">
        <f>293654/10*1.147</f>
        <v>33682.113799999999</v>
      </c>
      <c r="T79" s="482"/>
      <c r="U79" s="248"/>
      <c r="V79" s="273">
        <v>16742</v>
      </c>
      <c r="W79" s="249"/>
      <c r="X79" s="249"/>
      <c r="Y79" s="249"/>
      <c r="Z79" s="249"/>
      <c r="AA79" s="239"/>
      <c r="AB79" s="239" t="s">
        <v>1010</v>
      </c>
    </row>
    <row r="80" spans="1:28" ht="46.35" customHeight="1">
      <c r="A80" s="241" t="s">
        <v>2331</v>
      </c>
      <c r="B80" s="313" t="s">
        <v>33</v>
      </c>
      <c r="C80" s="239" t="s">
        <v>916</v>
      </c>
      <c r="D80" s="475" t="s">
        <v>252</v>
      </c>
      <c r="E80" s="480" t="s">
        <v>35</v>
      </c>
      <c r="F80" s="248"/>
      <c r="G80" s="239" t="s">
        <v>634</v>
      </c>
      <c r="H80" s="239"/>
      <c r="I80" s="239"/>
      <c r="J80" s="239"/>
      <c r="K80" s="272" t="s">
        <v>1028</v>
      </c>
      <c r="L80" s="239"/>
      <c r="M80" s="239"/>
      <c r="N80" s="278">
        <f t="shared" si="8"/>
        <v>2119506.8887671232</v>
      </c>
      <c r="O80" s="278">
        <f t="shared" si="9"/>
        <v>1271704.1332602738</v>
      </c>
      <c r="P80" s="278">
        <f t="shared" si="10"/>
        <v>417754.807776</v>
      </c>
      <c r="Q80" s="241" t="s">
        <v>85</v>
      </c>
      <c r="R80" s="538" t="s">
        <v>0</v>
      </c>
      <c r="S80" s="318">
        <v>3723504</v>
      </c>
      <c r="T80" s="239"/>
      <c r="U80" s="239"/>
      <c r="V80" s="273">
        <v>22036</v>
      </c>
      <c r="W80" s="239"/>
      <c r="X80" s="239"/>
      <c r="Y80" s="239"/>
      <c r="Z80" s="239"/>
      <c r="AA80" s="239"/>
      <c r="AB80" s="239" t="s">
        <v>1018</v>
      </c>
    </row>
    <row r="81" spans="1:28" ht="51" customHeight="1">
      <c r="A81" s="241" t="s">
        <v>1403</v>
      </c>
      <c r="B81" s="313" t="s">
        <v>33</v>
      </c>
      <c r="C81" s="239" t="s">
        <v>916</v>
      </c>
      <c r="D81" s="475" t="s">
        <v>252</v>
      </c>
      <c r="E81" s="491" t="s">
        <v>35</v>
      </c>
      <c r="F81" s="248"/>
      <c r="G81" s="239"/>
      <c r="H81" s="272" t="s">
        <v>1337</v>
      </c>
      <c r="I81" s="272" t="s">
        <v>924</v>
      </c>
      <c r="J81" s="239"/>
      <c r="K81" s="272" t="s">
        <v>1404</v>
      </c>
      <c r="L81" s="244"/>
      <c r="M81" s="244"/>
      <c r="N81" s="248"/>
      <c r="O81" s="278">
        <f t="shared" si="9"/>
        <v>323643.83561643836</v>
      </c>
      <c r="P81" s="1224">
        <v>106317</v>
      </c>
      <c r="Q81" s="280" t="s">
        <v>53</v>
      </c>
      <c r="R81" s="268" t="s">
        <v>108</v>
      </c>
      <c r="S81" s="260">
        <f>P81/0.112194</f>
        <v>947617.51965345733</v>
      </c>
      <c r="T81" s="290"/>
      <c r="U81" s="292"/>
      <c r="V81" s="273">
        <v>12900</v>
      </c>
      <c r="W81" s="290"/>
      <c r="X81" s="290"/>
      <c r="Y81" s="290"/>
      <c r="Z81" s="290"/>
      <c r="AA81" s="249"/>
      <c r="AB81" s="239" t="s">
        <v>1005</v>
      </c>
    </row>
    <row r="82" spans="1:28" ht="27.75" customHeight="1">
      <c r="A82" s="241" t="s">
        <v>1545</v>
      </c>
      <c r="B82" s="241" t="s">
        <v>33</v>
      </c>
      <c r="C82" s="239" t="s">
        <v>916</v>
      </c>
      <c r="D82" s="249" t="s">
        <v>842</v>
      </c>
      <c r="E82" s="244" t="s">
        <v>35</v>
      </c>
      <c r="F82" s="248"/>
      <c r="G82" s="239"/>
      <c r="H82" s="272" t="s">
        <v>1008</v>
      </c>
      <c r="I82" s="272" t="s">
        <v>924</v>
      </c>
      <c r="J82" s="239"/>
      <c r="K82" s="272" t="s">
        <v>1546</v>
      </c>
      <c r="L82" s="244"/>
      <c r="M82" s="244"/>
      <c r="N82" s="248"/>
      <c r="O82" s="278">
        <f t="shared" si="9"/>
        <v>323643.83561643836</v>
      </c>
      <c r="P82" s="1224">
        <v>106317</v>
      </c>
      <c r="Q82" s="280" t="s">
        <v>85</v>
      </c>
      <c r="R82" s="268" t="s">
        <v>163</v>
      </c>
      <c r="S82" s="260">
        <f>P82/0.112194</f>
        <v>947617.51965345733</v>
      </c>
      <c r="T82" s="290"/>
      <c r="U82" s="292"/>
      <c r="V82" s="273">
        <v>12500</v>
      </c>
      <c r="W82" s="290"/>
      <c r="X82" s="290"/>
      <c r="Y82" s="290"/>
      <c r="Z82" s="290"/>
      <c r="AA82" s="249"/>
      <c r="AB82" s="239" t="s">
        <v>1005</v>
      </c>
    </row>
    <row r="83" spans="1:28" ht="58.5" customHeight="1">
      <c r="A83" s="241" t="s">
        <v>2310</v>
      </c>
      <c r="B83" s="419" t="s">
        <v>33</v>
      </c>
      <c r="C83" s="239" t="s">
        <v>916</v>
      </c>
      <c r="D83" s="475" t="s">
        <v>252</v>
      </c>
      <c r="E83" s="480" t="s">
        <v>35</v>
      </c>
      <c r="F83" s="248" t="s">
        <v>853</v>
      </c>
      <c r="G83" s="239" t="s">
        <v>853</v>
      </c>
      <c r="H83" s="239" t="s">
        <v>923</v>
      </c>
      <c r="I83" s="239"/>
      <c r="J83" s="239" t="s">
        <v>924</v>
      </c>
      <c r="K83" s="272" t="s">
        <v>1030</v>
      </c>
      <c r="L83" s="505">
        <v>2100</v>
      </c>
      <c r="M83" s="239"/>
      <c r="N83" s="887">
        <f>O83/0.6</f>
        <v>84523.146199369876</v>
      </c>
      <c r="O83" s="887">
        <f>P83/(0.001*365*0.9)</f>
        <v>50713.887719621925</v>
      </c>
      <c r="P83" s="887">
        <f>S83*0.112194</f>
        <v>16659.512115895803</v>
      </c>
      <c r="Q83" s="241" t="s">
        <v>53</v>
      </c>
      <c r="R83" s="490" t="s">
        <v>157</v>
      </c>
      <c r="S83" s="318">
        <f>1294581/10*1.147</f>
        <v>148488.44070000001</v>
      </c>
      <c r="T83" s="239"/>
      <c r="U83" s="239"/>
      <c r="V83" s="273">
        <v>6870</v>
      </c>
      <c r="W83" s="239"/>
      <c r="X83" s="239"/>
      <c r="Y83" s="239"/>
      <c r="Z83" s="239"/>
      <c r="AA83" s="239"/>
      <c r="AB83" s="239" t="s">
        <v>1029</v>
      </c>
    </row>
    <row r="84" spans="1:28" ht="27.75" customHeight="1">
      <c r="A84" s="241" t="s">
        <v>1547</v>
      </c>
      <c r="B84" s="241" t="s">
        <v>33</v>
      </c>
      <c r="C84" s="239" t="s">
        <v>916</v>
      </c>
      <c r="D84" s="249" t="s">
        <v>842</v>
      </c>
      <c r="E84" s="244" t="s">
        <v>35</v>
      </c>
      <c r="F84" s="248"/>
      <c r="G84" s="239"/>
      <c r="H84" s="272" t="s">
        <v>1008</v>
      </c>
      <c r="I84" s="272" t="s">
        <v>924</v>
      </c>
      <c r="J84" s="239"/>
      <c r="K84" s="272" t="s">
        <v>1548</v>
      </c>
      <c r="L84" s="244"/>
      <c r="M84" s="244"/>
      <c r="N84" s="248"/>
      <c r="O84" s="887">
        <f>P84/(0.001*365*0.9)</f>
        <v>323643.83561643836</v>
      </c>
      <c r="P84" s="1224">
        <v>106317</v>
      </c>
      <c r="Q84" s="280" t="s">
        <v>85</v>
      </c>
      <c r="R84" s="268" t="s">
        <v>163</v>
      </c>
      <c r="S84" s="260">
        <f>P84/0.112194</f>
        <v>947617.51965345733</v>
      </c>
      <c r="T84" s="290"/>
      <c r="U84" s="292"/>
      <c r="V84" s="273">
        <v>48500</v>
      </c>
      <c r="W84" s="290"/>
      <c r="X84" s="290"/>
      <c r="Y84" s="290"/>
      <c r="Z84" s="290"/>
      <c r="AA84" s="249"/>
      <c r="AB84" s="239" t="s">
        <v>1005</v>
      </c>
    </row>
    <row r="85" spans="1:28" ht="58.5" customHeight="1">
      <c r="A85" s="287" t="s">
        <v>2311</v>
      </c>
      <c r="B85" s="419" t="s">
        <v>33</v>
      </c>
      <c r="C85" s="286" t="s">
        <v>916</v>
      </c>
      <c r="D85" s="288" t="s">
        <v>965</v>
      </c>
      <c r="E85" s="498" t="s">
        <v>35</v>
      </c>
      <c r="F85" s="486"/>
      <c r="G85" s="286" t="s">
        <v>941</v>
      </c>
      <c r="H85" s="286" t="s">
        <v>923</v>
      </c>
      <c r="I85" s="286" t="s">
        <v>952</v>
      </c>
      <c r="J85" s="286" t="s">
        <v>924</v>
      </c>
      <c r="K85" s="286" t="s">
        <v>2716</v>
      </c>
      <c r="L85" s="510"/>
      <c r="M85" s="286"/>
      <c r="N85" s="899">
        <v>500000</v>
      </c>
      <c r="O85" s="1225">
        <f>N85*0.6</f>
        <v>300000</v>
      </c>
      <c r="P85" s="1225">
        <f>O85*0.3285</f>
        <v>98550</v>
      </c>
      <c r="Q85" s="287" t="s">
        <v>85</v>
      </c>
      <c r="R85" s="662" t="s">
        <v>0</v>
      </c>
      <c r="S85" s="260">
        <f>P85/0.112194</f>
        <v>878389.21867479547</v>
      </c>
      <c r="T85" s="286"/>
      <c r="U85" s="286"/>
      <c r="V85" s="510"/>
      <c r="W85" s="286"/>
      <c r="X85" s="286"/>
      <c r="Y85" s="286"/>
      <c r="Z85" s="286"/>
      <c r="AA85" s="286"/>
      <c r="AB85" s="239" t="s">
        <v>2345</v>
      </c>
    </row>
    <row r="86" spans="1:28" ht="50.45" customHeight="1">
      <c r="A86" s="241" t="s">
        <v>2333</v>
      </c>
      <c r="B86" s="313" t="s">
        <v>33</v>
      </c>
      <c r="C86" s="239" t="s">
        <v>916</v>
      </c>
      <c r="D86" s="475" t="s">
        <v>842</v>
      </c>
      <c r="E86" s="480" t="s">
        <v>35</v>
      </c>
      <c r="F86" s="381">
        <v>43009</v>
      </c>
      <c r="G86" s="494" t="s">
        <v>999</v>
      </c>
      <c r="H86" s="286" t="s">
        <v>951</v>
      </c>
      <c r="I86" s="286" t="s">
        <v>952</v>
      </c>
      <c r="J86" s="286" t="s">
        <v>924</v>
      </c>
      <c r="K86" s="272" t="s">
        <v>1031</v>
      </c>
      <c r="L86" s="308"/>
      <c r="M86" s="308"/>
      <c r="N86" s="278">
        <f>O86/0.6</f>
        <v>29979.714846374434</v>
      </c>
      <c r="O86" s="278">
        <f t="shared" ref="O86:O114" si="11">P86/(0.001*365*0.9)</f>
        <v>17987.82890782466</v>
      </c>
      <c r="P86" s="278">
        <f t="shared" ref="P86:P98" si="12">S86*0.112194</f>
        <v>5909.001796220401</v>
      </c>
      <c r="Q86" s="360" t="s">
        <v>85</v>
      </c>
      <c r="R86" s="662" t="s">
        <v>0</v>
      </c>
      <c r="S86" s="318">
        <f>459178/10*1.147</f>
        <v>52667.716600000007</v>
      </c>
      <c r="T86" s="308"/>
      <c r="U86" s="308"/>
      <c r="V86" s="273">
        <v>29499</v>
      </c>
      <c r="W86" s="308"/>
      <c r="X86" s="308"/>
      <c r="Y86" s="308"/>
      <c r="Z86" s="308"/>
      <c r="AA86" s="308"/>
      <c r="AB86" s="239" t="s">
        <v>977</v>
      </c>
    </row>
    <row r="87" spans="1:28" ht="60" customHeight="1">
      <c r="A87" s="241" t="s">
        <v>2334</v>
      </c>
      <c r="B87" s="313" t="s">
        <v>33</v>
      </c>
      <c r="C87" s="239" t="s">
        <v>916</v>
      </c>
      <c r="D87" s="475" t="s">
        <v>842</v>
      </c>
      <c r="E87" s="480" t="s">
        <v>35</v>
      </c>
      <c r="F87" s="381">
        <v>43009</v>
      </c>
      <c r="G87" s="363" t="s">
        <v>999</v>
      </c>
      <c r="H87" s="286" t="s">
        <v>951</v>
      </c>
      <c r="I87" s="286" t="s">
        <v>952</v>
      </c>
      <c r="J87" s="286" t="s">
        <v>924</v>
      </c>
      <c r="K87" s="286" t="s">
        <v>1032</v>
      </c>
      <c r="L87" s="250"/>
      <c r="M87" s="239"/>
      <c r="N87" s="278">
        <f>O87/0.6</f>
        <v>24937.109807707762</v>
      </c>
      <c r="O87" s="278">
        <f t="shared" si="11"/>
        <v>14962.265884624658</v>
      </c>
      <c r="P87" s="278">
        <f t="shared" si="12"/>
        <v>4915.1043430992004</v>
      </c>
      <c r="Q87" s="360" t="s">
        <v>85</v>
      </c>
      <c r="R87" s="662" t="s">
        <v>0</v>
      </c>
      <c r="S87" s="318">
        <f>381944/10*1.147</f>
        <v>43808.976800000004</v>
      </c>
      <c r="T87" s="482"/>
      <c r="U87" s="248"/>
      <c r="V87" s="273">
        <v>25457</v>
      </c>
      <c r="W87" s="249"/>
      <c r="X87" s="249"/>
      <c r="Y87" s="249"/>
      <c r="Z87" s="249"/>
      <c r="AA87" s="239"/>
      <c r="AB87" s="239" t="s">
        <v>977</v>
      </c>
    </row>
    <row r="88" spans="1:28" ht="60" customHeight="1">
      <c r="A88" s="241" t="s">
        <v>2312</v>
      </c>
      <c r="B88" s="313" t="s">
        <v>33</v>
      </c>
      <c r="C88" s="239" t="s">
        <v>916</v>
      </c>
      <c r="D88" s="475" t="s">
        <v>252</v>
      </c>
      <c r="E88" s="480" t="s">
        <v>35</v>
      </c>
      <c r="F88" s="381">
        <v>43282</v>
      </c>
      <c r="G88" s="239" t="s">
        <v>781</v>
      </c>
      <c r="H88" s="239" t="s">
        <v>951</v>
      </c>
      <c r="I88" s="286" t="s">
        <v>952</v>
      </c>
      <c r="J88" s="239" t="s">
        <v>924</v>
      </c>
      <c r="K88" s="272" t="s">
        <v>1033</v>
      </c>
      <c r="L88" s="239"/>
      <c r="M88" s="239"/>
      <c r="N88" s="278">
        <f>O88/0.6</f>
        <v>117532.05419091324</v>
      </c>
      <c r="O88" s="278">
        <f t="shared" si="11"/>
        <v>70519.232514547941</v>
      </c>
      <c r="P88" s="278">
        <f t="shared" si="12"/>
        <v>23165.567881029001</v>
      </c>
      <c r="Q88" s="241" t="s">
        <v>85</v>
      </c>
      <c r="R88" s="662" t="s">
        <v>0</v>
      </c>
      <c r="S88" s="318">
        <f>1800155/10*1.147</f>
        <v>206477.77850000001</v>
      </c>
      <c r="T88" s="239"/>
      <c r="U88" s="239"/>
      <c r="V88" s="273">
        <v>13571</v>
      </c>
      <c r="W88" s="239"/>
      <c r="X88" s="239"/>
      <c r="Y88" s="239"/>
      <c r="Z88" s="239"/>
      <c r="AA88" s="239"/>
      <c r="AB88" s="239" t="s">
        <v>950</v>
      </c>
    </row>
    <row r="89" spans="1:28" ht="72.599999999999994" customHeight="1">
      <c r="A89" s="241" t="s">
        <v>2335</v>
      </c>
      <c r="B89" s="313" t="s">
        <v>33</v>
      </c>
      <c r="C89" s="239" t="s">
        <v>916</v>
      </c>
      <c r="D89" s="475" t="s">
        <v>965</v>
      </c>
      <c r="E89" s="480" t="s">
        <v>35</v>
      </c>
      <c r="F89" s="381">
        <v>43282</v>
      </c>
      <c r="G89" s="239" t="s">
        <v>781</v>
      </c>
      <c r="H89" s="239" t="s">
        <v>951</v>
      </c>
      <c r="I89" s="239" t="s">
        <v>924</v>
      </c>
      <c r="J89" s="239" t="s">
        <v>924</v>
      </c>
      <c r="K89" s="272" t="s">
        <v>1034</v>
      </c>
      <c r="L89" s="239"/>
      <c r="M89" s="239"/>
      <c r="N89" s="278">
        <f>O89/0.6</f>
        <v>132071.28028622831</v>
      </c>
      <c r="O89" s="278">
        <f t="shared" si="11"/>
        <v>79242.768171736985</v>
      </c>
      <c r="P89" s="278">
        <f t="shared" si="12"/>
        <v>26031.249344415603</v>
      </c>
      <c r="Q89" s="241" t="s">
        <v>85</v>
      </c>
      <c r="R89" s="662" t="s">
        <v>0</v>
      </c>
      <c r="S89" s="318">
        <f>2022842/10*1.147</f>
        <v>232019.9774</v>
      </c>
      <c r="T89" s="239"/>
      <c r="U89" s="239"/>
      <c r="V89" s="273">
        <v>12100</v>
      </c>
      <c r="W89" s="239"/>
      <c r="X89" s="239"/>
      <c r="Y89" s="239"/>
      <c r="Z89" s="239"/>
      <c r="AA89" s="239"/>
      <c r="AB89" s="239" t="s">
        <v>997</v>
      </c>
    </row>
    <row r="90" spans="1:28" ht="72.599999999999994" customHeight="1">
      <c r="A90" s="241" t="s">
        <v>2715</v>
      </c>
      <c r="B90" s="313" t="s">
        <v>33</v>
      </c>
      <c r="C90" s="239" t="s">
        <v>916</v>
      </c>
      <c r="D90" s="475" t="s">
        <v>262</v>
      </c>
      <c r="E90" s="491" t="s">
        <v>35</v>
      </c>
      <c r="F90" s="1222" t="s">
        <v>1007</v>
      </c>
      <c r="G90" s="239"/>
      <c r="H90" s="272" t="s">
        <v>936</v>
      </c>
      <c r="I90" s="272" t="s">
        <v>924</v>
      </c>
      <c r="J90" s="239"/>
      <c r="K90" s="272" t="s">
        <v>1375</v>
      </c>
      <c r="L90" s="244"/>
      <c r="M90" s="244"/>
      <c r="N90" s="1238">
        <v>255000</v>
      </c>
      <c r="O90" s="1225">
        <f>N90*0.6</f>
        <v>153000</v>
      </c>
      <c r="P90" s="1225">
        <f>O90*0.3285</f>
        <v>50260.5</v>
      </c>
      <c r="Q90" s="280" t="s">
        <v>53</v>
      </c>
      <c r="R90" s="268" t="s">
        <v>600</v>
      </c>
      <c r="S90" s="260">
        <f>P90/0.112194</f>
        <v>447978.50152414566</v>
      </c>
      <c r="T90" s="244"/>
      <c r="U90" s="488"/>
      <c r="V90" s="460">
        <v>18600</v>
      </c>
      <c r="W90" s="244"/>
      <c r="X90" s="244"/>
      <c r="Y90" s="290"/>
      <c r="Z90" s="290"/>
      <c r="AA90" s="249"/>
      <c r="AB90" s="239" t="s">
        <v>1005</v>
      </c>
    </row>
    <row r="91" spans="1:28" ht="52.7" customHeight="1">
      <c r="A91" s="241" t="s">
        <v>1408</v>
      </c>
      <c r="B91" s="241" t="s">
        <v>33</v>
      </c>
      <c r="C91" s="239" t="s">
        <v>916</v>
      </c>
      <c r="D91" s="249" t="s">
        <v>262</v>
      </c>
      <c r="E91" s="244" t="s">
        <v>35</v>
      </c>
      <c r="F91" s="248"/>
      <c r="G91" s="239"/>
      <c r="H91" s="272" t="s">
        <v>936</v>
      </c>
      <c r="I91" s="272" t="s">
        <v>924</v>
      </c>
      <c r="J91" s="239"/>
      <c r="K91" s="272" t="s">
        <v>1409</v>
      </c>
      <c r="L91" s="244"/>
      <c r="M91" s="244"/>
      <c r="N91" s="248"/>
      <c r="O91" s="1249"/>
      <c r="P91" s="1224">
        <v>106317</v>
      </c>
      <c r="Q91" s="280" t="s">
        <v>53</v>
      </c>
      <c r="R91" s="268" t="s">
        <v>600</v>
      </c>
      <c r="S91" s="260">
        <f>P91/0.112194</f>
        <v>947617.51965345733</v>
      </c>
      <c r="T91" s="244"/>
      <c r="U91" s="488"/>
      <c r="V91" s="273"/>
      <c r="W91" s="362" t="s">
        <v>1173</v>
      </c>
      <c r="X91" s="362" t="s">
        <v>0</v>
      </c>
      <c r="Y91" s="290"/>
      <c r="Z91" s="290"/>
      <c r="AA91" s="249"/>
      <c r="AB91" s="239" t="s">
        <v>1005</v>
      </c>
    </row>
    <row r="92" spans="1:28" ht="47.45" customHeight="1">
      <c r="A92" s="241" t="s">
        <v>1410</v>
      </c>
      <c r="B92" s="313" t="s">
        <v>33</v>
      </c>
      <c r="C92" s="239" t="s">
        <v>916</v>
      </c>
      <c r="D92" s="475" t="s">
        <v>262</v>
      </c>
      <c r="E92" s="491" t="s">
        <v>35</v>
      </c>
      <c r="F92" s="1222" t="s">
        <v>1007</v>
      </c>
      <c r="G92" s="239"/>
      <c r="H92" s="272" t="s">
        <v>936</v>
      </c>
      <c r="I92" s="272" t="s">
        <v>924</v>
      </c>
      <c r="J92" s="239"/>
      <c r="K92" s="272" t="s">
        <v>1411</v>
      </c>
      <c r="L92" s="244"/>
      <c r="M92" s="244"/>
      <c r="N92" s="248"/>
      <c r="O92" s="1249"/>
      <c r="P92" s="1224">
        <v>106317</v>
      </c>
      <c r="Q92" s="280" t="s">
        <v>53</v>
      </c>
      <c r="R92" s="268" t="s">
        <v>600</v>
      </c>
      <c r="S92" s="260">
        <f>P92/0.112194</f>
        <v>947617.51965345733</v>
      </c>
      <c r="T92" s="244"/>
      <c r="U92" s="488"/>
      <c r="V92" s="460">
        <v>17000</v>
      </c>
      <c r="W92" s="244"/>
      <c r="X92" s="244"/>
      <c r="Y92" s="290"/>
      <c r="Z92" s="290"/>
      <c r="AA92" s="249"/>
      <c r="AB92" s="239" t="s">
        <v>1005</v>
      </c>
    </row>
    <row r="93" spans="1:28" ht="67.5" customHeight="1">
      <c r="A93" s="241" t="s">
        <v>2313</v>
      </c>
      <c r="B93" s="419" t="s">
        <v>33</v>
      </c>
      <c r="C93" s="239" t="s">
        <v>916</v>
      </c>
      <c r="D93" s="475" t="s">
        <v>252</v>
      </c>
      <c r="E93" s="480" t="s">
        <v>35</v>
      </c>
      <c r="F93" s="248"/>
      <c r="G93" s="239" t="s">
        <v>853</v>
      </c>
      <c r="H93" s="239" t="s">
        <v>923</v>
      </c>
      <c r="I93" s="239"/>
      <c r="J93" s="239" t="s">
        <v>924</v>
      </c>
      <c r="K93" s="272" t="s">
        <v>1035</v>
      </c>
      <c r="L93" s="505">
        <v>10560</v>
      </c>
      <c r="M93" s="239"/>
      <c r="N93" s="887">
        <f>O93/0.6</f>
        <v>468345.34373116895</v>
      </c>
      <c r="O93" s="887">
        <f t="shared" si="11"/>
        <v>281007.20623870136</v>
      </c>
      <c r="P93" s="887">
        <f t="shared" si="12"/>
        <v>92310.867249413408</v>
      </c>
      <c r="Q93" s="241" t="s">
        <v>53</v>
      </c>
      <c r="R93" s="490" t="s">
        <v>157</v>
      </c>
      <c r="S93" s="318">
        <f>7173313/10*1.147</f>
        <v>822779.00110000011</v>
      </c>
      <c r="T93" s="239"/>
      <c r="U93" s="239"/>
      <c r="V93" s="273">
        <v>29006</v>
      </c>
      <c r="W93" s="239"/>
      <c r="X93" s="239"/>
      <c r="Y93" s="239"/>
      <c r="Z93" s="239"/>
      <c r="AA93" s="239"/>
      <c r="AB93" s="239" t="s">
        <v>1029</v>
      </c>
    </row>
    <row r="94" spans="1:28" ht="58.7" customHeight="1">
      <c r="A94" s="241" t="s">
        <v>2314</v>
      </c>
      <c r="B94" s="313" t="s">
        <v>33</v>
      </c>
      <c r="C94" s="239" t="s">
        <v>916</v>
      </c>
      <c r="D94" s="475" t="s">
        <v>1308</v>
      </c>
      <c r="E94" s="480" t="s">
        <v>35</v>
      </c>
      <c r="F94" s="248" t="s">
        <v>1036</v>
      </c>
      <c r="G94" s="239" t="s">
        <v>1037</v>
      </c>
      <c r="H94" s="272" t="s">
        <v>936</v>
      </c>
      <c r="I94" s="272" t="s">
        <v>924</v>
      </c>
      <c r="J94" s="272" t="s">
        <v>924</v>
      </c>
      <c r="K94" s="272" t="s">
        <v>1412</v>
      </c>
      <c r="L94" s="239"/>
      <c r="M94" s="239"/>
      <c r="N94" s="278">
        <f>O94/0.6</f>
        <v>277463.54123937903</v>
      </c>
      <c r="O94" s="278">
        <f t="shared" si="11"/>
        <v>166478.12474362741</v>
      </c>
      <c r="P94" s="278">
        <f t="shared" si="12"/>
        <v>54688.063978281607</v>
      </c>
      <c r="Q94" s="241" t="s">
        <v>53</v>
      </c>
      <c r="R94" s="490" t="s">
        <v>600</v>
      </c>
      <c r="S94" s="318">
        <f>4249712/10*1.147</f>
        <v>487441.96640000003</v>
      </c>
      <c r="T94" s="239"/>
      <c r="U94" s="239"/>
      <c r="V94" s="273">
        <v>18858</v>
      </c>
      <c r="W94" s="239"/>
      <c r="X94" s="239"/>
      <c r="Y94" s="239"/>
      <c r="Z94" s="239"/>
      <c r="AA94" s="239"/>
      <c r="AB94" s="239" t="s">
        <v>997</v>
      </c>
    </row>
    <row r="95" spans="1:28" ht="56.45" customHeight="1">
      <c r="A95" s="241" t="s">
        <v>2315</v>
      </c>
      <c r="B95" s="313" t="s">
        <v>33</v>
      </c>
      <c r="C95" s="239" t="s">
        <v>916</v>
      </c>
      <c r="D95" s="475" t="s">
        <v>940</v>
      </c>
      <c r="E95" s="480" t="s">
        <v>35</v>
      </c>
      <c r="F95" s="248" t="s">
        <v>1036</v>
      </c>
      <c r="G95" s="239" t="s">
        <v>1037</v>
      </c>
      <c r="H95" s="272" t="s">
        <v>936</v>
      </c>
      <c r="I95" s="272" t="s">
        <v>924</v>
      </c>
      <c r="J95" s="272" t="s">
        <v>924</v>
      </c>
      <c r="K95" s="272" t="s">
        <v>1038</v>
      </c>
      <c r="L95" s="239"/>
      <c r="M95" s="239"/>
      <c r="N95" s="278">
        <f>O95/0.6</f>
        <v>255847.79716336989</v>
      </c>
      <c r="O95" s="278">
        <f t="shared" si="11"/>
        <v>153508.67829802193</v>
      </c>
      <c r="P95" s="278">
        <f t="shared" si="12"/>
        <v>50427.60082090021</v>
      </c>
      <c r="Q95" s="241" t="s">
        <v>53</v>
      </c>
      <c r="R95" s="490" t="s">
        <v>108</v>
      </c>
      <c r="S95" s="318">
        <f>3918639/10*1.147</f>
        <v>449467.89330000005</v>
      </c>
      <c r="T95" s="239"/>
      <c r="U95" s="239"/>
      <c r="V95" s="273">
        <v>14065</v>
      </c>
      <c r="W95" s="239"/>
      <c r="X95" s="239"/>
      <c r="Y95" s="239"/>
      <c r="Z95" s="239"/>
      <c r="AA95" s="239"/>
      <c r="AB95" s="239" t="s">
        <v>997</v>
      </c>
    </row>
    <row r="96" spans="1:28" ht="85.7" customHeight="1">
      <c r="A96" s="241" t="s">
        <v>2336</v>
      </c>
      <c r="B96" s="313" t="s">
        <v>33</v>
      </c>
      <c r="C96" s="239" t="s">
        <v>916</v>
      </c>
      <c r="D96" s="475" t="s">
        <v>842</v>
      </c>
      <c r="E96" s="480" t="s">
        <v>35</v>
      </c>
      <c r="F96" s="381">
        <v>43282</v>
      </c>
      <c r="G96" s="900" t="s">
        <v>834</v>
      </c>
      <c r="H96" s="272" t="s">
        <v>951</v>
      </c>
      <c r="I96" s="272" t="s">
        <v>1039</v>
      </c>
      <c r="J96" s="272" t="s">
        <v>924</v>
      </c>
      <c r="K96" s="272" t="s">
        <v>1040</v>
      </c>
      <c r="L96" s="239"/>
      <c r="M96" s="239"/>
      <c r="N96" s="278">
        <f>O96/0.6</f>
        <v>313069.09636810044</v>
      </c>
      <c r="O96" s="278">
        <f t="shared" si="11"/>
        <v>187841.45782086026</v>
      </c>
      <c r="P96" s="278">
        <f t="shared" si="12"/>
        <v>61705.918894152601</v>
      </c>
      <c r="Q96" s="331" t="s">
        <v>85</v>
      </c>
      <c r="R96" s="490" t="s">
        <v>0</v>
      </c>
      <c r="S96" s="318">
        <f>4795057/10*1.147</f>
        <v>549993.0379</v>
      </c>
      <c r="T96" s="239"/>
      <c r="U96" s="239"/>
      <c r="V96" s="273">
        <v>35260</v>
      </c>
      <c r="W96" s="239"/>
      <c r="X96" s="239"/>
      <c r="Y96" s="239"/>
      <c r="Z96" s="239"/>
      <c r="AA96" s="239"/>
      <c r="AB96" s="239" t="s">
        <v>997</v>
      </c>
    </row>
    <row r="97" spans="1:28" ht="27.75" customHeight="1">
      <c r="A97" s="241" t="s">
        <v>1549</v>
      </c>
      <c r="B97" s="241" t="s">
        <v>33</v>
      </c>
      <c r="C97" s="239" t="s">
        <v>916</v>
      </c>
      <c r="D97" s="249" t="s">
        <v>1550</v>
      </c>
      <c r="E97" s="244" t="s">
        <v>35</v>
      </c>
      <c r="F97" s="248"/>
      <c r="G97" s="239"/>
      <c r="H97" s="272" t="s">
        <v>1008</v>
      </c>
      <c r="I97" s="272" t="s">
        <v>924</v>
      </c>
      <c r="J97" s="239"/>
      <c r="K97" s="272" t="s">
        <v>1551</v>
      </c>
      <c r="L97" s="244"/>
      <c r="M97" s="244"/>
      <c r="N97" s="248"/>
      <c r="O97" s="1249"/>
      <c r="P97" s="1224">
        <v>106317</v>
      </c>
      <c r="Q97" s="280" t="s">
        <v>85</v>
      </c>
      <c r="R97" s="268" t="s">
        <v>163</v>
      </c>
      <c r="S97" s="260">
        <f>P97/0.112194</f>
        <v>947617.51965345733</v>
      </c>
      <c r="T97" s="290"/>
      <c r="U97" s="292"/>
      <c r="V97" s="273">
        <v>9370</v>
      </c>
      <c r="W97" s="290"/>
      <c r="X97" s="290"/>
      <c r="Y97" s="290"/>
      <c r="Z97" s="290"/>
      <c r="AA97" s="249"/>
      <c r="AB97" s="239" t="s">
        <v>1005</v>
      </c>
    </row>
    <row r="98" spans="1:28" ht="63" customHeight="1">
      <c r="A98" s="241" t="s">
        <v>2337</v>
      </c>
      <c r="B98" s="313" t="s">
        <v>33</v>
      </c>
      <c r="C98" s="239" t="s">
        <v>916</v>
      </c>
      <c r="D98" s="475" t="s">
        <v>965</v>
      </c>
      <c r="E98" s="480" t="s">
        <v>35</v>
      </c>
      <c r="F98" s="381">
        <v>43009</v>
      </c>
      <c r="G98" s="346">
        <v>44348</v>
      </c>
      <c r="H98" s="272" t="s">
        <v>986</v>
      </c>
      <c r="I98" s="272" t="s">
        <v>924</v>
      </c>
      <c r="J98" s="272" t="s">
        <v>943</v>
      </c>
      <c r="K98" s="272" t="s">
        <v>1042</v>
      </c>
      <c r="L98" s="455">
        <v>6300</v>
      </c>
      <c r="M98" s="239"/>
      <c r="N98" s="887">
        <f>O98/0.6</f>
        <v>33576.734803844753</v>
      </c>
      <c r="O98" s="887">
        <f t="shared" si="11"/>
        <v>20146.04088230685</v>
      </c>
      <c r="P98" s="278">
        <f t="shared" si="12"/>
        <v>6617.9744298378</v>
      </c>
      <c r="Q98" s="360" t="s">
        <v>85</v>
      </c>
      <c r="R98" s="490" t="s">
        <v>0</v>
      </c>
      <c r="S98" s="318">
        <f>514271/10*1.147</f>
        <v>58986.883699999998</v>
      </c>
      <c r="T98" s="482"/>
      <c r="U98" s="248"/>
      <c r="V98" s="273">
        <v>39392</v>
      </c>
      <c r="W98" s="249"/>
      <c r="X98" s="249"/>
      <c r="Y98" s="249"/>
      <c r="Z98" s="249"/>
      <c r="AA98" s="239"/>
      <c r="AB98" s="239" t="s">
        <v>1041</v>
      </c>
    </row>
    <row r="99" spans="1:28" s="750" customFormat="1" ht="42.6" customHeight="1">
      <c r="A99" s="1032" t="s">
        <v>2790</v>
      </c>
      <c r="B99" s="484" t="s">
        <v>33</v>
      </c>
      <c r="C99" s="485" t="s">
        <v>916</v>
      </c>
      <c r="D99" s="1031" t="s">
        <v>252</v>
      </c>
      <c r="E99" s="499" t="s">
        <v>35</v>
      </c>
      <c r="F99" s="358">
        <v>44805</v>
      </c>
      <c r="G99" s="239"/>
      <c r="H99" s="774" t="s">
        <v>1008</v>
      </c>
      <c r="I99" s="774" t="s">
        <v>924</v>
      </c>
      <c r="J99" s="239"/>
      <c r="K99" s="718" t="s">
        <v>2814</v>
      </c>
      <c r="L99" s="1230">
        <v>2000</v>
      </c>
      <c r="M99" s="244"/>
      <c r="N99" s="1237">
        <v>100000</v>
      </c>
      <c r="O99" s="1225">
        <f>N99*0.6</f>
        <v>60000</v>
      </c>
      <c r="P99" s="1225">
        <f>O99*0.3285</f>
        <v>19710</v>
      </c>
      <c r="Q99" s="484" t="s">
        <v>85</v>
      </c>
      <c r="R99" s="268"/>
      <c r="S99" s="260">
        <f>P99/0.112194</f>
        <v>175677.84373495908</v>
      </c>
      <c r="T99" s="290"/>
      <c r="U99" s="292"/>
      <c r="V99" s="1030">
        <v>17783.081797017599</v>
      </c>
      <c r="W99" s="290"/>
      <c r="X99" s="290"/>
      <c r="Y99" s="290"/>
      <c r="Z99" s="290"/>
      <c r="AA99" s="249"/>
      <c r="AB99" s="609" t="s">
        <v>2813</v>
      </c>
    </row>
    <row r="100" spans="1:28" s="750" customFormat="1" ht="42.6" customHeight="1">
      <c r="A100" s="1032" t="s">
        <v>2792</v>
      </c>
      <c r="B100" s="484" t="s">
        <v>33</v>
      </c>
      <c r="C100" s="485" t="s">
        <v>916</v>
      </c>
      <c r="D100" s="249" t="s">
        <v>1308</v>
      </c>
      <c r="E100" s="499" t="s">
        <v>35</v>
      </c>
      <c r="F100" s="248"/>
      <c r="G100" s="239"/>
      <c r="H100" s="774" t="s">
        <v>2812</v>
      </c>
      <c r="I100" s="774" t="s">
        <v>924</v>
      </c>
      <c r="J100" s="239"/>
      <c r="K100" s="718" t="s">
        <v>2815</v>
      </c>
      <c r="L100" s="1230">
        <v>9500</v>
      </c>
      <c r="M100" s="244"/>
      <c r="N100" s="1237">
        <v>475000</v>
      </c>
      <c r="O100" s="1225">
        <f>N100*0.6</f>
        <v>285000</v>
      </c>
      <c r="P100" s="1225">
        <f>O100*0.3285</f>
        <v>93622.5</v>
      </c>
      <c r="Q100" s="484" t="s">
        <v>85</v>
      </c>
      <c r="R100" s="268"/>
      <c r="S100" s="260">
        <f>P100/0.112194</f>
        <v>834469.75774105568</v>
      </c>
      <c r="T100" s="290"/>
      <c r="U100" s="292"/>
      <c r="V100" s="1030">
        <v>84469.638535833597</v>
      </c>
      <c r="W100" s="290"/>
      <c r="X100" s="290"/>
      <c r="Y100" s="290"/>
      <c r="Z100" s="1396"/>
      <c r="AA100" s="249"/>
      <c r="AB100" s="609" t="s">
        <v>2813</v>
      </c>
    </row>
    <row r="101" spans="1:28" s="750" customFormat="1" ht="42.6" customHeight="1">
      <c r="A101" s="1032" t="s">
        <v>3068</v>
      </c>
      <c r="B101" s="484" t="s">
        <v>33</v>
      </c>
      <c r="C101" s="485" t="s">
        <v>916</v>
      </c>
      <c r="D101" s="1031" t="s">
        <v>252</v>
      </c>
      <c r="E101" s="499" t="s">
        <v>35</v>
      </c>
      <c r="F101" s="358">
        <v>44501</v>
      </c>
      <c r="G101" s="239"/>
      <c r="H101" s="718" t="s">
        <v>2812</v>
      </c>
      <c r="I101" s="718" t="s">
        <v>924</v>
      </c>
      <c r="J101" s="239"/>
      <c r="K101" s="718" t="s">
        <v>3071</v>
      </c>
      <c r="L101" s="499"/>
      <c r="M101" s="499"/>
      <c r="N101" s="1250"/>
      <c r="O101" s="568"/>
      <c r="P101" s="568" t="s">
        <v>2820</v>
      </c>
      <c r="Q101" s="484" t="s">
        <v>85</v>
      </c>
      <c r="R101" s="268" t="s">
        <v>0</v>
      </c>
      <c r="S101" s="510"/>
      <c r="T101" s="290"/>
      <c r="U101" s="292"/>
      <c r="V101" s="1033"/>
      <c r="W101" s="290"/>
      <c r="X101" s="290"/>
      <c r="Y101" s="290"/>
      <c r="Z101" s="1397"/>
      <c r="AA101" s="249"/>
      <c r="AB101" s="609" t="s">
        <v>3069</v>
      </c>
    </row>
    <row r="102" spans="1:28" s="750" customFormat="1" ht="42.6" customHeight="1">
      <c r="A102" s="1032" t="s">
        <v>3067</v>
      </c>
      <c r="B102" s="484" t="s">
        <v>33</v>
      </c>
      <c r="C102" s="485" t="s">
        <v>916</v>
      </c>
      <c r="D102" s="249" t="s">
        <v>1308</v>
      </c>
      <c r="E102" s="499" t="s">
        <v>35</v>
      </c>
      <c r="F102" s="358">
        <v>44652</v>
      </c>
      <c r="G102" s="239"/>
      <c r="H102" s="718" t="s">
        <v>2812</v>
      </c>
      <c r="I102" s="718" t="s">
        <v>924</v>
      </c>
      <c r="J102" s="239"/>
      <c r="K102" s="718" t="s">
        <v>3072</v>
      </c>
      <c r="L102" s="695">
        <v>6400</v>
      </c>
      <c r="M102" s="499"/>
      <c r="N102" s="1250"/>
      <c r="O102" s="568"/>
      <c r="P102" s="568" t="s">
        <v>2820</v>
      </c>
      <c r="Q102" s="484" t="s">
        <v>85</v>
      </c>
      <c r="R102" s="268" t="s">
        <v>0</v>
      </c>
      <c r="S102" s="510"/>
      <c r="T102" s="487"/>
      <c r="U102" s="524"/>
      <c r="V102" s="1033"/>
      <c r="W102" s="290"/>
      <c r="X102" s="290"/>
      <c r="Y102" s="290"/>
      <c r="Z102" s="1397"/>
      <c r="AA102" s="249"/>
      <c r="AB102" s="609" t="s">
        <v>3070</v>
      </c>
    </row>
    <row r="103" spans="1:28" s="750" customFormat="1" ht="42.6" customHeight="1">
      <c r="A103" s="827" t="s">
        <v>2791</v>
      </c>
      <c r="B103" s="484" t="s">
        <v>33</v>
      </c>
      <c r="C103" s="485" t="s">
        <v>916</v>
      </c>
      <c r="D103" s="1031" t="s">
        <v>252</v>
      </c>
      <c r="E103" s="499" t="s">
        <v>35</v>
      </c>
      <c r="F103" s="248"/>
      <c r="G103" s="239"/>
      <c r="H103" s="718" t="s">
        <v>2811</v>
      </c>
      <c r="I103" s="766"/>
      <c r="J103" s="239"/>
      <c r="K103" s="718" t="s">
        <v>2810</v>
      </c>
      <c r="L103" s="499"/>
      <c r="M103" s="499"/>
      <c r="N103" s="1250"/>
      <c r="O103" s="568"/>
      <c r="P103" s="568" t="s">
        <v>2820</v>
      </c>
      <c r="Q103" s="484" t="s">
        <v>85</v>
      </c>
      <c r="R103" s="659"/>
      <c r="S103" s="510"/>
      <c r="T103" s="290"/>
      <c r="U103" s="292"/>
      <c r="V103" s="661"/>
      <c r="W103" s="290"/>
      <c r="X103" s="290"/>
      <c r="Y103" s="290"/>
      <c r="Z103" s="290"/>
      <c r="AA103" s="249"/>
      <c r="AB103" s="1142" t="s">
        <v>2809</v>
      </c>
    </row>
    <row r="104" spans="1:28" ht="68.45" customHeight="1">
      <c r="A104" s="360" t="s">
        <v>1552</v>
      </c>
      <c r="B104" s="241" t="s">
        <v>33</v>
      </c>
      <c r="C104" s="249" t="s">
        <v>3074</v>
      </c>
      <c r="D104" s="475" t="s">
        <v>295</v>
      </c>
      <c r="E104" s="480" t="s">
        <v>296</v>
      </c>
      <c r="F104" s="486"/>
      <c r="G104" s="1034">
        <v>45139</v>
      </c>
      <c r="H104" s="249" t="s">
        <v>228</v>
      </c>
      <c r="I104" s="249"/>
      <c r="J104" s="244"/>
      <c r="K104" s="272" t="s">
        <v>3076</v>
      </c>
      <c r="L104" s="244" t="s">
        <v>3075</v>
      </c>
      <c r="M104" s="244"/>
      <c r="N104" s="661"/>
      <c r="O104" s="661"/>
      <c r="P104" s="278">
        <f>14500*365*0.9</f>
        <v>4763250</v>
      </c>
      <c r="Q104" s="274" t="s">
        <v>85</v>
      </c>
      <c r="R104" s="489"/>
      <c r="S104" s="278">
        <f>P104/0.112194</f>
        <v>42455478.902615115</v>
      </c>
      <c r="T104" s="290"/>
      <c r="U104" s="292"/>
      <c r="V104" s="291"/>
      <c r="W104" s="290"/>
      <c r="X104" s="290"/>
      <c r="Y104" s="290"/>
      <c r="Z104" s="290"/>
      <c r="AA104" s="249"/>
      <c r="AB104" s="239" t="s">
        <v>3073</v>
      </c>
    </row>
    <row r="105" spans="1:28" ht="37.700000000000003" customHeight="1">
      <c r="A105" s="484" t="s">
        <v>2259</v>
      </c>
      <c r="B105" s="287" t="s">
        <v>33</v>
      </c>
      <c r="C105" s="286" t="s">
        <v>916</v>
      </c>
      <c r="D105" s="485" t="s">
        <v>2262</v>
      </c>
      <c r="E105" s="563" t="s">
        <v>2261</v>
      </c>
      <c r="F105" s="277" t="s">
        <v>754</v>
      </c>
      <c r="G105" s="269" t="s">
        <v>800</v>
      </c>
      <c r="H105" s="372" t="s">
        <v>2260</v>
      </c>
      <c r="I105" s="285" t="s">
        <v>190</v>
      </c>
      <c r="J105" s="485"/>
      <c r="K105" s="269" t="s">
        <v>2263</v>
      </c>
      <c r="L105" s="537">
        <v>2800</v>
      </c>
      <c r="M105" s="661"/>
      <c r="N105" s="278">
        <f>O105/6*10</f>
        <v>304414.00304414</v>
      </c>
      <c r="O105" s="278">
        <f>P105/(0.001*365*0.9)</f>
        <v>182648.40182648401</v>
      </c>
      <c r="P105" s="347">
        <v>60000</v>
      </c>
      <c r="Q105" s="1398" t="s">
        <v>85</v>
      </c>
      <c r="R105" s="495"/>
      <c r="S105" s="260">
        <f t="shared" ref="S105:S116" si="13">P105/0.112194</f>
        <v>534787.95657521789</v>
      </c>
      <c r="T105" s="308"/>
      <c r="U105" s="308"/>
      <c r="V105" s="311">
        <v>3175</v>
      </c>
      <c r="W105" s="312" t="s">
        <v>1024</v>
      </c>
      <c r="X105" s="271" t="s">
        <v>163</v>
      </c>
      <c r="Y105" s="271" t="s">
        <v>2264</v>
      </c>
      <c r="Z105" s="312"/>
      <c r="AA105" s="286"/>
      <c r="AB105" s="609" t="s">
        <v>2554</v>
      </c>
    </row>
    <row r="106" spans="1:28" ht="37.700000000000003" customHeight="1">
      <c r="A106" s="419" t="s">
        <v>1554</v>
      </c>
      <c r="B106" s="419" t="s">
        <v>33</v>
      </c>
      <c r="C106" s="638" t="s">
        <v>1026</v>
      </c>
      <c r="D106" s="651" t="s">
        <v>1555</v>
      </c>
      <c r="E106" s="652" t="s">
        <v>1556</v>
      </c>
      <c r="F106" s="540" t="s">
        <v>774</v>
      </c>
      <c r="G106" s="744">
        <v>45078</v>
      </c>
      <c r="H106" s="266" t="s">
        <v>1557</v>
      </c>
      <c r="I106" s="271" t="s">
        <v>1558</v>
      </c>
      <c r="J106" s="638"/>
      <c r="K106" s="271" t="s">
        <v>1559</v>
      </c>
      <c r="L106" s="321">
        <v>6500</v>
      </c>
      <c r="M106" s="654"/>
      <c r="N106" s="556">
        <f>O106/0.6</f>
        <v>532724.50532724499</v>
      </c>
      <c r="O106" s="556">
        <f>P106/(0.001*365*0.9)</f>
        <v>319634.70319634699</v>
      </c>
      <c r="P106" s="281">
        <v>105000</v>
      </c>
      <c r="Q106" s="1233" t="s">
        <v>85</v>
      </c>
      <c r="R106" s="560" t="s">
        <v>163</v>
      </c>
      <c r="S106" s="322">
        <f t="shared" si="13"/>
        <v>935878.92400663137</v>
      </c>
      <c r="T106" s="638"/>
      <c r="U106" s="638"/>
      <c r="V106" s="654"/>
      <c r="W106" s="271" t="s">
        <v>1560</v>
      </c>
      <c r="X106" s="271" t="s">
        <v>1561</v>
      </c>
      <c r="Y106" s="271" t="s">
        <v>1562</v>
      </c>
      <c r="Z106" s="312"/>
      <c r="AA106" s="271" t="s">
        <v>30</v>
      </c>
      <c r="AB106" s="609" t="s">
        <v>1553</v>
      </c>
    </row>
    <row r="107" spans="1:28" ht="66" customHeight="1">
      <c r="A107" s="360" t="s">
        <v>2922</v>
      </c>
      <c r="B107" s="241" t="s">
        <v>33</v>
      </c>
      <c r="C107" s="249" t="s">
        <v>916</v>
      </c>
      <c r="D107" s="475" t="s">
        <v>1444</v>
      </c>
      <c r="E107" s="491" t="s">
        <v>742</v>
      </c>
      <c r="F107" s="330" t="s">
        <v>1445</v>
      </c>
      <c r="G107" s="358">
        <v>45139</v>
      </c>
      <c r="H107" s="249" t="s">
        <v>1187</v>
      </c>
      <c r="I107" s="285" t="s">
        <v>952</v>
      </c>
      <c r="J107" s="285" t="s">
        <v>441</v>
      </c>
      <c r="K107" s="272" t="s">
        <v>2921</v>
      </c>
      <c r="L107" s="901">
        <v>10000</v>
      </c>
      <c r="M107" s="249">
        <v>253000</v>
      </c>
      <c r="N107" s="347">
        <f>605*60*24</f>
        <v>871200</v>
      </c>
      <c r="O107" s="347">
        <f>N107*0.6</f>
        <v>522720</v>
      </c>
      <c r="P107" s="515">
        <v>171000</v>
      </c>
      <c r="Q107" s="697" t="s">
        <v>85</v>
      </c>
      <c r="R107" s="489"/>
      <c r="S107" s="493">
        <f>P107/0.112194</f>
        <v>1524145.6762393711</v>
      </c>
      <c r="T107" s="360"/>
      <c r="U107" s="516"/>
      <c r="V107" s="460">
        <v>57400</v>
      </c>
      <c r="W107" s="285" t="s">
        <v>1173</v>
      </c>
      <c r="X107" s="285" t="s">
        <v>0</v>
      </c>
      <c r="Y107" s="285" t="s">
        <v>1446</v>
      </c>
      <c r="Z107" s="272"/>
      <c r="AA107" s="249"/>
      <c r="AB107" s="239" t="s">
        <v>2920</v>
      </c>
    </row>
    <row r="108" spans="1:28" ht="37.700000000000003" customHeight="1">
      <c r="A108" s="382" t="s">
        <v>1095</v>
      </c>
      <c r="B108" s="313" t="s">
        <v>33</v>
      </c>
      <c r="C108" s="239" t="s">
        <v>1096</v>
      </c>
      <c r="D108" s="475" t="s">
        <v>1097</v>
      </c>
      <c r="E108" s="480" t="s">
        <v>221</v>
      </c>
      <c r="F108" s="248">
        <v>2018</v>
      </c>
      <c r="G108" s="285" t="s">
        <v>754</v>
      </c>
      <c r="H108" s="239" t="s">
        <v>1098</v>
      </c>
      <c r="I108" s="239"/>
      <c r="J108" s="239"/>
      <c r="K108" s="239" t="s">
        <v>1099</v>
      </c>
      <c r="L108" s="239" t="s">
        <v>1100</v>
      </c>
      <c r="M108" s="250" t="s">
        <v>1101</v>
      </c>
      <c r="N108" s="278">
        <f>O108/0.6</f>
        <v>2029426.6869609335</v>
      </c>
      <c r="O108" s="278">
        <f>P108/(0.001*365*0.9)</f>
        <v>1217656.01217656</v>
      </c>
      <c r="P108" s="278">
        <v>400000</v>
      </c>
      <c r="Q108" s="241" t="s">
        <v>85</v>
      </c>
      <c r="R108" s="490" t="s">
        <v>0</v>
      </c>
      <c r="S108" s="314">
        <f t="shared" si="13"/>
        <v>3565253.0438347859</v>
      </c>
      <c r="T108" s="239"/>
      <c r="U108" s="239"/>
      <c r="V108" s="239"/>
      <c r="W108" s="239"/>
      <c r="X108" s="239"/>
      <c r="Y108" s="239"/>
      <c r="Z108" s="239"/>
      <c r="AA108" s="300" t="s">
        <v>30</v>
      </c>
      <c r="AB108" s="609" t="s">
        <v>2455</v>
      </c>
    </row>
    <row r="109" spans="1:28" ht="37.700000000000003" customHeight="1">
      <c r="A109" s="484" t="s">
        <v>2572</v>
      </c>
      <c r="B109" s="287" t="s">
        <v>33</v>
      </c>
      <c r="C109" s="485" t="s">
        <v>916</v>
      </c>
      <c r="D109" s="288" t="s">
        <v>2369</v>
      </c>
      <c r="E109" s="289" t="s">
        <v>221</v>
      </c>
      <c r="F109" s="330" t="s">
        <v>2365</v>
      </c>
      <c r="G109" s="485" t="s">
        <v>2573</v>
      </c>
      <c r="H109" s="485" t="s">
        <v>2574</v>
      </c>
      <c r="I109" s="372" t="s">
        <v>190</v>
      </c>
      <c r="J109" s="485"/>
      <c r="K109" s="272" t="s">
        <v>2367</v>
      </c>
      <c r="L109" s="902">
        <v>8000</v>
      </c>
      <c r="M109" s="902" t="s">
        <v>2366</v>
      </c>
      <c r="N109" s="278">
        <f>O109/0.6</f>
        <v>1481481.4814814816</v>
      </c>
      <c r="O109" s="278">
        <f>P109/(0.001*365*0.9)</f>
        <v>888888.88888888888</v>
      </c>
      <c r="P109" s="515">
        <f>800*365</f>
        <v>292000</v>
      </c>
      <c r="Q109" s="903" t="s">
        <v>85</v>
      </c>
      <c r="R109" s="657" t="s">
        <v>0</v>
      </c>
      <c r="S109" s="278">
        <f t="shared" si="13"/>
        <v>2602634.7219993938</v>
      </c>
      <c r="T109" s="484"/>
      <c r="U109" s="660"/>
      <c r="V109" s="666"/>
      <c r="W109" s="485" t="s">
        <v>1024</v>
      </c>
      <c r="X109" s="485"/>
      <c r="Y109" s="485"/>
      <c r="Z109" s="286"/>
      <c r="AA109" s="485"/>
      <c r="AB109" s="609" t="s">
        <v>2368</v>
      </c>
    </row>
    <row r="110" spans="1:28" ht="47.25" customHeight="1">
      <c r="A110" s="241" t="s">
        <v>3143</v>
      </c>
      <c r="B110" s="419" t="s">
        <v>33</v>
      </c>
      <c r="C110" s="239" t="s">
        <v>916</v>
      </c>
      <c r="D110" s="475" t="s">
        <v>1044</v>
      </c>
      <c r="E110" s="480" t="s">
        <v>222</v>
      </c>
      <c r="F110" s="248" t="s">
        <v>1045</v>
      </c>
      <c r="G110" s="346" t="s">
        <v>634</v>
      </c>
      <c r="H110" s="239" t="s">
        <v>1046</v>
      </c>
      <c r="I110" s="239" t="s">
        <v>1047</v>
      </c>
      <c r="J110" s="239"/>
      <c r="K110" s="239" t="s">
        <v>1048</v>
      </c>
      <c r="L110" s="239"/>
      <c r="M110" s="239"/>
      <c r="N110" s="887">
        <f>O110/0.6</f>
        <v>740740.74074074079</v>
      </c>
      <c r="O110" s="887">
        <f t="shared" si="11"/>
        <v>444444.44444444444</v>
      </c>
      <c r="P110" s="347">
        <f>400*365</f>
        <v>146000</v>
      </c>
      <c r="Q110" s="242" t="s">
        <v>85</v>
      </c>
      <c r="R110" s="904" t="s">
        <v>0</v>
      </c>
      <c r="S110" s="260">
        <f t="shared" si="13"/>
        <v>1301317.3609996969</v>
      </c>
      <c r="T110" s="239"/>
      <c r="U110" s="239"/>
      <c r="V110" s="239"/>
      <c r="W110" s="239" t="s">
        <v>1049</v>
      </c>
      <c r="X110" s="239" t="s">
        <v>0</v>
      </c>
      <c r="Y110" s="239"/>
      <c r="Z110" s="239"/>
      <c r="AA110" s="239"/>
      <c r="AB110" s="239" t="s">
        <v>1043</v>
      </c>
    </row>
    <row r="111" spans="1:28" ht="54" customHeight="1">
      <c r="A111" s="360" t="s">
        <v>1051</v>
      </c>
      <c r="B111" s="419" t="s">
        <v>33</v>
      </c>
      <c r="C111" s="905" t="s">
        <v>1026</v>
      </c>
      <c r="D111" s="475" t="s">
        <v>1052</v>
      </c>
      <c r="E111" s="480" t="s">
        <v>1053</v>
      </c>
      <c r="F111" s="248" t="s">
        <v>1054</v>
      </c>
      <c r="G111" s="239" t="s">
        <v>853</v>
      </c>
      <c r="H111" s="239" t="s">
        <v>1055</v>
      </c>
      <c r="I111" s="243" t="s">
        <v>1012</v>
      </c>
      <c r="J111" s="239"/>
      <c r="K111" s="272" t="s">
        <v>1056</v>
      </c>
      <c r="L111" s="460">
        <v>15000</v>
      </c>
      <c r="M111" s="250"/>
      <c r="N111" s="887">
        <f>O111/0.6</f>
        <v>1296296.2962962964</v>
      </c>
      <c r="O111" s="887">
        <f t="shared" si="11"/>
        <v>777777.77777777775</v>
      </c>
      <c r="P111" s="515">
        <f>700*365</f>
        <v>255500</v>
      </c>
      <c r="Q111" s="360" t="s">
        <v>85</v>
      </c>
      <c r="R111" s="490" t="s">
        <v>0</v>
      </c>
      <c r="S111" s="278">
        <f t="shared" si="13"/>
        <v>2277305.3817494698</v>
      </c>
      <c r="T111" s="333"/>
      <c r="U111" s="906" t="s">
        <v>1057</v>
      </c>
      <c r="V111" s="907">
        <v>140903</v>
      </c>
      <c r="W111" s="239" t="s">
        <v>1058</v>
      </c>
      <c r="X111" s="239" t="s">
        <v>130</v>
      </c>
      <c r="Y111" s="249"/>
      <c r="Z111" s="239"/>
      <c r="AA111" s="239"/>
      <c r="AB111" s="1284" t="s">
        <v>1050</v>
      </c>
    </row>
    <row r="112" spans="1:28" ht="66" customHeight="1">
      <c r="A112" s="484" t="s">
        <v>1060</v>
      </c>
      <c r="B112" s="287" t="s">
        <v>33</v>
      </c>
      <c r="C112" s="485" t="s">
        <v>916</v>
      </c>
      <c r="D112" s="485" t="s">
        <v>1061</v>
      </c>
      <c r="E112" s="563" t="s">
        <v>222</v>
      </c>
      <c r="F112" s="422" t="s">
        <v>1062</v>
      </c>
      <c r="G112" s="485"/>
      <c r="H112" s="485" t="s">
        <v>1063</v>
      </c>
      <c r="I112" s="329" t="s">
        <v>1064</v>
      </c>
      <c r="J112" s="485"/>
      <c r="K112" s="272" t="s">
        <v>3142</v>
      </c>
      <c r="L112" s="329">
        <v>8000</v>
      </c>
      <c r="M112" s="460">
        <v>120000</v>
      </c>
      <c r="N112" s="278">
        <f>O112/6*10</f>
        <v>456621.00456621003</v>
      </c>
      <c r="O112" s="278">
        <f t="shared" si="11"/>
        <v>273972.60273972602</v>
      </c>
      <c r="P112" s="460">
        <v>90000</v>
      </c>
      <c r="Q112" s="328" t="s">
        <v>85</v>
      </c>
      <c r="R112" s="908" t="s">
        <v>0</v>
      </c>
      <c r="S112" s="260">
        <f t="shared" si="13"/>
        <v>802181.93486282683</v>
      </c>
      <c r="T112" s="485"/>
      <c r="U112" s="678"/>
      <c r="V112" s="657"/>
      <c r="W112" s="329" t="s">
        <v>1024</v>
      </c>
      <c r="X112" s="329" t="s">
        <v>163</v>
      </c>
      <c r="Y112" s="329" t="s">
        <v>1066</v>
      </c>
      <c r="Z112" s="329"/>
      <c r="AA112" s="485" t="s">
        <v>30</v>
      </c>
      <c r="AB112" s="609" t="s">
        <v>1059</v>
      </c>
    </row>
    <row r="113" spans="1:28" ht="79.7" customHeight="1">
      <c r="A113" s="664"/>
      <c r="B113" s="639"/>
      <c r="C113" s="692"/>
      <c r="D113" s="692"/>
      <c r="E113" s="1289"/>
      <c r="F113" s="645"/>
      <c r="G113" s="1290"/>
      <c r="H113" s="766"/>
      <c r="I113" s="766"/>
      <c r="J113" s="1286"/>
      <c r="K113" s="643"/>
      <c r="L113" s="654"/>
      <c r="M113" s="647"/>
      <c r="N113" s="688"/>
      <c r="O113" s="688"/>
      <c r="P113" s="1291"/>
      <c r="Q113" s="664"/>
      <c r="R113" s="1292"/>
      <c r="S113" s="775"/>
      <c r="T113" s="1291"/>
      <c r="U113" s="1293"/>
      <c r="V113" s="1294"/>
      <c r="W113" s="692"/>
      <c r="X113" s="692"/>
      <c r="Y113" s="692"/>
      <c r="Z113" s="692"/>
      <c r="AA113" s="692"/>
      <c r="AB113" s="609"/>
    </row>
    <row r="114" spans="1:28" ht="95.25" customHeight="1">
      <c r="A114" s="241" t="s">
        <v>2272</v>
      </c>
      <c r="B114" s="313" t="s">
        <v>33</v>
      </c>
      <c r="C114" s="239" t="s">
        <v>1026</v>
      </c>
      <c r="D114" s="475" t="s">
        <v>1068</v>
      </c>
      <c r="E114" s="480" t="s">
        <v>222</v>
      </c>
      <c r="F114" s="496" t="s">
        <v>1069</v>
      </c>
      <c r="G114" s="272" t="s">
        <v>1070</v>
      </c>
      <c r="H114" s="272" t="s">
        <v>1071</v>
      </c>
      <c r="I114" s="393" t="s">
        <v>243</v>
      </c>
      <c r="J114" s="239"/>
      <c r="K114" s="272" t="s">
        <v>1072</v>
      </c>
      <c r="L114" s="455">
        <v>7200</v>
      </c>
      <c r="M114" s="266" t="s">
        <v>1073</v>
      </c>
      <c r="N114" s="283">
        <f>O114/0.6</f>
        <v>1727777.7777777778</v>
      </c>
      <c r="O114" s="283">
        <f t="shared" si="11"/>
        <v>1036666.6666666666</v>
      </c>
      <c r="P114" s="273">
        <f>933*365</f>
        <v>340545</v>
      </c>
      <c r="Q114" s="331" t="s">
        <v>85</v>
      </c>
      <c r="R114" s="366" t="s">
        <v>0</v>
      </c>
      <c r="S114" s="283">
        <f t="shared" si="13"/>
        <v>3035322.7445317931</v>
      </c>
      <c r="T114" s="239"/>
      <c r="U114" s="239"/>
      <c r="V114" s="455">
        <v>79013</v>
      </c>
      <c r="W114" s="239"/>
      <c r="X114" s="239"/>
      <c r="Y114" s="239"/>
      <c r="Z114" s="497"/>
      <c r="AA114" s="239"/>
      <c r="AB114" s="239" t="s">
        <v>1067</v>
      </c>
    </row>
    <row r="115" spans="1:28" ht="66" customHeight="1">
      <c r="A115" s="484" t="s">
        <v>2555</v>
      </c>
      <c r="B115" s="287" t="s">
        <v>33</v>
      </c>
      <c r="C115" s="288" t="s">
        <v>916</v>
      </c>
      <c r="D115" s="288" t="s">
        <v>1061</v>
      </c>
      <c r="E115" s="289" t="s">
        <v>222</v>
      </c>
      <c r="F115" s="422" t="s">
        <v>1062</v>
      </c>
      <c r="G115" s="523" t="s">
        <v>2557</v>
      </c>
      <c r="H115" s="485" t="s">
        <v>1063</v>
      </c>
      <c r="I115" s="329" t="s">
        <v>1064</v>
      </c>
      <c r="J115" s="485"/>
      <c r="K115" s="272" t="s">
        <v>1065</v>
      </c>
      <c r="L115" s="329">
        <v>8000</v>
      </c>
      <c r="M115" s="460">
        <v>120000</v>
      </c>
      <c r="N115" s="278">
        <f>O115/6*10</f>
        <v>456621.00456621003</v>
      </c>
      <c r="O115" s="278">
        <f>P115/(0.001*365*0.9)</f>
        <v>273972.60273972602</v>
      </c>
      <c r="P115" s="460">
        <v>90000</v>
      </c>
      <c r="Q115" s="543" t="s">
        <v>85</v>
      </c>
      <c r="R115" s="909"/>
      <c r="S115" s="260">
        <f t="shared" si="13"/>
        <v>802181.93486282683</v>
      </c>
      <c r="T115" s="288"/>
      <c r="U115" s="544" t="s">
        <v>1454</v>
      </c>
      <c r="V115" s="668"/>
      <c r="W115" s="542" t="s">
        <v>1024</v>
      </c>
      <c r="X115" s="542" t="s">
        <v>163</v>
      </c>
      <c r="Y115" s="542" t="s">
        <v>1066</v>
      </c>
      <c r="Z115" s="542"/>
      <c r="AA115" s="288" t="s">
        <v>30</v>
      </c>
      <c r="AB115" s="609" t="s">
        <v>2556</v>
      </c>
    </row>
    <row r="116" spans="1:28" ht="36" customHeight="1">
      <c r="A116" s="287" t="s">
        <v>1075</v>
      </c>
      <c r="B116" s="419" t="s">
        <v>33</v>
      </c>
      <c r="C116" s="286" t="s">
        <v>916</v>
      </c>
      <c r="D116" s="288" t="s">
        <v>1076</v>
      </c>
      <c r="E116" s="498" t="s">
        <v>416</v>
      </c>
      <c r="F116" s="486"/>
      <c r="G116" s="286" t="s">
        <v>1077</v>
      </c>
      <c r="H116" s="286" t="s">
        <v>1078</v>
      </c>
      <c r="I116" s="243" t="s">
        <v>1079</v>
      </c>
      <c r="J116" s="286"/>
      <c r="K116" s="286" t="s">
        <v>1080</v>
      </c>
      <c r="L116" s="307">
        <v>14350</v>
      </c>
      <c r="M116" s="300">
        <v>345000</v>
      </c>
      <c r="N116" s="347">
        <v>2160000</v>
      </c>
      <c r="O116" s="887">
        <f>N116*0.6</f>
        <v>1296000</v>
      </c>
      <c r="P116" s="278">
        <f>O116*0.001*365*0.9</f>
        <v>425736</v>
      </c>
      <c r="Q116" s="484" t="s">
        <v>85</v>
      </c>
      <c r="R116" s="910" t="s">
        <v>0</v>
      </c>
      <c r="S116" s="260">
        <f t="shared" si="13"/>
        <v>3794641.4246751163</v>
      </c>
      <c r="T116" s="500"/>
      <c r="U116" s="486"/>
      <c r="V116" s="500"/>
      <c r="W116" s="485"/>
      <c r="X116" s="285" t="s">
        <v>441</v>
      </c>
      <c r="Y116" s="485"/>
      <c r="Z116" s="285"/>
      <c r="AA116" s="288" t="s">
        <v>30</v>
      </c>
      <c r="AB116" s="609" t="s">
        <v>1074</v>
      </c>
    </row>
    <row r="117" spans="1:28" ht="57" customHeight="1">
      <c r="A117" s="241" t="s">
        <v>1081</v>
      </c>
      <c r="B117" s="419" t="s">
        <v>33</v>
      </c>
      <c r="C117" s="239" t="s">
        <v>916</v>
      </c>
      <c r="D117" s="475" t="s">
        <v>1082</v>
      </c>
      <c r="E117" s="480" t="s">
        <v>416</v>
      </c>
      <c r="F117" s="248">
        <v>2008</v>
      </c>
      <c r="G117" s="239"/>
      <c r="H117" s="239" t="s">
        <v>1083</v>
      </c>
      <c r="I117" s="272" t="s">
        <v>1084</v>
      </c>
      <c r="J117" s="239" t="s">
        <v>1085</v>
      </c>
      <c r="K117" s="272" t="s">
        <v>1086</v>
      </c>
      <c r="L117" s="501" t="s">
        <v>1087</v>
      </c>
      <c r="M117" s="250">
        <v>273750</v>
      </c>
      <c r="N117" s="502">
        <v>1200000</v>
      </c>
      <c r="O117" s="278">
        <f>P117/(0.001*365*0.9)</f>
        <v>580608.21917808219</v>
      </c>
      <c r="P117" s="278">
        <f>S117*0.112194</f>
        <v>190729.80000000002</v>
      </c>
      <c r="Q117" s="241" t="s">
        <v>43</v>
      </c>
      <c r="R117" s="840" t="s">
        <v>157</v>
      </c>
      <c r="S117" s="314">
        <v>1700000</v>
      </c>
      <c r="T117" s="347">
        <v>1700000</v>
      </c>
      <c r="U117" s="350" t="s">
        <v>1088</v>
      </c>
      <c r="V117" s="911" t="s">
        <v>1089</v>
      </c>
      <c r="W117" s="352" t="s">
        <v>984</v>
      </c>
      <c r="X117" s="249" t="s">
        <v>29</v>
      </c>
      <c r="Y117" s="249" t="s">
        <v>1090</v>
      </c>
      <c r="Z117" s="249"/>
      <c r="AA117" s="288" t="s">
        <v>30</v>
      </c>
      <c r="AB117" s="609" t="s">
        <v>2382</v>
      </c>
    </row>
    <row r="118" spans="1:28" ht="54" customHeight="1">
      <c r="A118" s="241" t="s">
        <v>1091</v>
      </c>
      <c r="B118" s="419" t="s">
        <v>33</v>
      </c>
      <c r="C118" s="239" t="s">
        <v>916</v>
      </c>
      <c r="D118" s="475" t="s">
        <v>1082</v>
      </c>
      <c r="E118" s="480" t="s">
        <v>416</v>
      </c>
      <c r="F118" s="248"/>
      <c r="G118" s="239"/>
      <c r="H118" s="300" t="s">
        <v>1092</v>
      </c>
      <c r="I118" s="300" t="s">
        <v>1093</v>
      </c>
      <c r="J118" s="239"/>
      <c r="K118" s="300" t="s">
        <v>1094</v>
      </c>
      <c r="L118" s="501" t="s">
        <v>1087</v>
      </c>
      <c r="M118" s="239"/>
      <c r="N118" s="248"/>
      <c r="O118" s="347" t="s">
        <v>71</v>
      </c>
      <c r="P118" s="347" t="s">
        <v>71</v>
      </c>
      <c r="Q118" s="378" t="s">
        <v>53</v>
      </c>
      <c r="R118" s="490" t="s">
        <v>157</v>
      </c>
      <c r="S118" s="314" t="s">
        <v>71</v>
      </c>
      <c r="T118" s="333"/>
      <c r="U118" s="248"/>
      <c r="V118" s="912"/>
      <c r="W118" s="249"/>
      <c r="X118" s="249"/>
      <c r="Y118" s="249"/>
      <c r="Z118" s="249"/>
      <c r="AA118" s="288" t="s">
        <v>30</v>
      </c>
      <c r="AB118" s="239" t="s">
        <v>2381</v>
      </c>
    </row>
    <row r="119" spans="1:28" ht="66" customHeight="1">
      <c r="A119" s="360" t="s">
        <v>2454</v>
      </c>
      <c r="B119" s="241" t="s">
        <v>33</v>
      </c>
      <c r="C119" s="475" t="s">
        <v>1026</v>
      </c>
      <c r="D119" s="475" t="s">
        <v>2281</v>
      </c>
      <c r="E119" s="491" t="s">
        <v>221</v>
      </c>
      <c r="F119" s="277" t="s">
        <v>834</v>
      </c>
      <c r="G119" s="372" t="s">
        <v>774</v>
      </c>
      <c r="H119" s="249" t="s">
        <v>1468</v>
      </c>
      <c r="I119" s="372" t="s">
        <v>1047</v>
      </c>
      <c r="J119" s="249"/>
      <c r="K119" s="272" t="s">
        <v>3044</v>
      </c>
      <c r="L119" s="372" t="s">
        <v>1469</v>
      </c>
      <c r="M119" s="249"/>
      <c r="N119" s="522">
        <f>O119/6*10</f>
        <v>2029426.6869609335</v>
      </c>
      <c r="O119" s="522">
        <f t="shared" ref="O119:O129" si="14">P119/(0.001*365*0.9)</f>
        <v>1217656.01217656</v>
      </c>
      <c r="P119" s="460">
        <v>400000</v>
      </c>
      <c r="Q119" s="532" t="s">
        <v>85</v>
      </c>
      <c r="R119" s="913" t="s">
        <v>0</v>
      </c>
      <c r="S119" s="548">
        <f t="shared" ref="S119:S134" si="15">P119/0.112194</f>
        <v>3565253.0438347859</v>
      </c>
      <c r="T119" s="475"/>
      <c r="U119" s="549"/>
      <c r="V119" s="550"/>
      <c r="W119" s="475" t="s">
        <v>29</v>
      </c>
      <c r="X119" s="475" t="s">
        <v>1470</v>
      </c>
      <c r="Y119" s="475" t="s">
        <v>1471</v>
      </c>
      <c r="Z119" s="312"/>
      <c r="AA119" s="288" t="s">
        <v>30</v>
      </c>
      <c r="AB119" s="609" t="s">
        <v>3043</v>
      </c>
    </row>
    <row r="120" spans="1:28" ht="66" customHeight="1">
      <c r="A120" s="484" t="s">
        <v>2711</v>
      </c>
      <c r="B120" s="419" t="s">
        <v>33</v>
      </c>
      <c r="C120" s="692" t="s">
        <v>1026</v>
      </c>
      <c r="D120" s="288" t="s">
        <v>1455</v>
      </c>
      <c r="E120" s="289" t="s">
        <v>422</v>
      </c>
      <c r="F120" s="506" t="s">
        <v>1456</v>
      </c>
      <c r="G120" s="1247">
        <v>45007</v>
      </c>
      <c r="H120" s="372" t="s">
        <v>2713</v>
      </c>
      <c r="I120" s="1220" t="s">
        <v>1012</v>
      </c>
      <c r="J120" s="485"/>
      <c r="K120" s="272" t="s">
        <v>2712</v>
      </c>
      <c r="L120" s="318" t="s">
        <v>1458</v>
      </c>
      <c r="M120" s="318" t="s">
        <v>1459</v>
      </c>
      <c r="N120" s="275">
        <v>2160000</v>
      </c>
      <c r="O120" s="278">
        <f>N120*0.6</f>
        <v>1296000</v>
      </c>
      <c r="P120" s="1251">
        <v>365000</v>
      </c>
      <c r="Q120" s="532" t="s">
        <v>85</v>
      </c>
      <c r="R120" s="909" t="s">
        <v>30</v>
      </c>
      <c r="S120" s="246">
        <f t="shared" si="15"/>
        <v>3253293.4024992422</v>
      </c>
      <c r="T120" s="288"/>
      <c r="U120" s="545" t="s">
        <v>1460</v>
      </c>
      <c r="V120" s="546">
        <v>43000</v>
      </c>
      <c r="W120" s="547" t="s">
        <v>1461</v>
      </c>
      <c r="X120" s="542" t="s">
        <v>2170</v>
      </c>
      <c r="Y120" s="312" t="s">
        <v>1462</v>
      </c>
      <c r="Z120" s="542"/>
      <c r="AA120" s="288" t="s">
        <v>30</v>
      </c>
      <c r="AB120" s="609" t="s">
        <v>2710</v>
      </c>
    </row>
    <row r="121" spans="1:28" ht="50.45" customHeight="1">
      <c r="A121" s="360" t="s">
        <v>2910</v>
      </c>
      <c r="B121" s="241" t="s">
        <v>33</v>
      </c>
      <c r="C121" s="249" t="s">
        <v>916</v>
      </c>
      <c r="D121" s="475" t="s">
        <v>1563</v>
      </c>
      <c r="E121" s="491" t="s">
        <v>818</v>
      </c>
      <c r="F121" s="486" t="s">
        <v>2909</v>
      </c>
      <c r="G121" s="249" t="s">
        <v>1565</v>
      </c>
      <c r="H121" s="805" t="s">
        <v>2913</v>
      </c>
      <c r="I121" s="1220" t="s">
        <v>1012</v>
      </c>
      <c r="J121" s="244"/>
      <c r="K121" s="267" t="s">
        <v>2911</v>
      </c>
      <c r="L121" s="804">
        <v>5275</v>
      </c>
      <c r="M121" s="244"/>
      <c r="N121" s="278">
        <f>(O121/6)*10</f>
        <v>659563.67326230335</v>
      </c>
      <c r="O121" s="278">
        <f>P121/(0.001*365*0.9)</f>
        <v>395738.20395738201</v>
      </c>
      <c r="P121" s="515">
        <v>130000</v>
      </c>
      <c r="Q121" s="780" t="s">
        <v>85</v>
      </c>
      <c r="R121" s="518" t="s">
        <v>0</v>
      </c>
      <c r="S121" s="337">
        <f>P121/0.112194</f>
        <v>1158707.2392463055</v>
      </c>
      <c r="T121" s="290"/>
      <c r="U121" s="292"/>
      <c r="V121" s="803">
        <v>28000</v>
      </c>
      <c r="W121" s="316" t="s">
        <v>1436</v>
      </c>
      <c r="X121" s="290"/>
      <c r="Y121" s="290"/>
      <c r="Z121" s="244"/>
      <c r="AA121" s="249"/>
      <c r="AB121" s="507" t="s">
        <v>2912</v>
      </c>
    </row>
    <row r="122" spans="1:28" ht="62.25" customHeight="1">
      <c r="A122" s="265" t="s">
        <v>2841</v>
      </c>
      <c r="B122" s="241" t="s">
        <v>33</v>
      </c>
      <c r="C122" s="288" t="s">
        <v>916</v>
      </c>
      <c r="D122" s="472" t="s">
        <v>2955</v>
      </c>
      <c r="E122" s="473" t="s">
        <v>314</v>
      </c>
      <c r="F122" s="1252">
        <v>44774</v>
      </c>
      <c r="G122" s="781">
        <v>45200</v>
      </c>
      <c r="H122" s="710" t="s">
        <v>2864</v>
      </c>
      <c r="I122" s="286"/>
      <c r="J122" s="308"/>
      <c r="K122" s="710" t="s">
        <v>2996</v>
      </c>
      <c r="L122" s="730" t="s">
        <v>2997</v>
      </c>
      <c r="M122" s="1253" t="s">
        <v>2999</v>
      </c>
      <c r="N122" s="663"/>
      <c r="O122" s="663"/>
      <c r="P122" s="663"/>
      <c r="Q122" s="731" t="s">
        <v>85</v>
      </c>
      <c r="R122" s="495"/>
      <c r="S122" s="666"/>
      <c r="T122" s="308"/>
      <c r="U122" s="308"/>
      <c r="V122" s="666"/>
      <c r="W122" s="308"/>
      <c r="X122" s="308"/>
      <c r="Y122" s="286"/>
      <c r="Z122" s="286"/>
      <c r="AA122" s="308"/>
      <c r="AB122" s="1142" t="s">
        <v>2998</v>
      </c>
    </row>
    <row r="123" spans="1:28" ht="48" customHeight="1">
      <c r="A123" s="360" t="s">
        <v>1103</v>
      </c>
      <c r="B123" s="313" t="s">
        <v>33</v>
      </c>
      <c r="C123" s="360" t="s">
        <v>916</v>
      </c>
      <c r="D123" s="475" t="s">
        <v>1104</v>
      </c>
      <c r="E123" s="491" t="s">
        <v>225</v>
      </c>
      <c r="F123" s="248"/>
      <c r="G123" s="357" t="s">
        <v>999</v>
      </c>
      <c r="H123" s="267" t="s">
        <v>1105</v>
      </c>
      <c r="I123" s="244"/>
      <c r="J123" s="244"/>
      <c r="K123" s="267" t="s">
        <v>1106</v>
      </c>
      <c r="L123" s="311">
        <v>20000</v>
      </c>
      <c r="M123" s="267" t="s">
        <v>1107</v>
      </c>
      <c r="N123" s="278">
        <f>(O123/6)*10</f>
        <v>2181633.6884830035</v>
      </c>
      <c r="O123" s="278">
        <f t="shared" si="14"/>
        <v>1308980.2130898021</v>
      </c>
      <c r="P123" s="282">
        <v>430000</v>
      </c>
      <c r="Q123" s="378" t="s">
        <v>85</v>
      </c>
      <c r="R123" s="904" t="s">
        <v>0</v>
      </c>
      <c r="S123" s="260">
        <f t="shared" si="15"/>
        <v>3832647.0221223952</v>
      </c>
      <c r="T123" s="290"/>
      <c r="U123" s="292"/>
      <c r="V123" s="291"/>
      <c r="W123" s="290"/>
      <c r="X123" s="290"/>
      <c r="Y123" s="290"/>
      <c r="Z123" s="267"/>
      <c r="AA123" s="249"/>
      <c r="AB123" s="507" t="s">
        <v>1102</v>
      </c>
    </row>
    <row r="124" spans="1:28" ht="44.25" customHeight="1">
      <c r="A124" s="241" t="s">
        <v>1109</v>
      </c>
      <c r="B124" s="419" t="s">
        <v>33</v>
      </c>
      <c r="C124" s="239" t="s">
        <v>1110</v>
      </c>
      <c r="D124" s="475" t="s">
        <v>1111</v>
      </c>
      <c r="E124" s="480" t="s">
        <v>357</v>
      </c>
      <c r="F124" s="370">
        <v>2020</v>
      </c>
      <c r="G124" s="239">
        <v>2020</v>
      </c>
      <c r="H124" s="239" t="s">
        <v>1112</v>
      </c>
      <c r="I124" s="239" t="s">
        <v>943</v>
      </c>
      <c r="J124" s="239"/>
      <c r="K124" s="239" t="s">
        <v>1113</v>
      </c>
      <c r="L124" s="552">
        <v>24700</v>
      </c>
      <c r="M124" s="239"/>
      <c r="N124" s="283">
        <f>O124/0.6</f>
        <v>152207.00152207003</v>
      </c>
      <c r="O124" s="283">
        <f t="shared" si="14"/>
        <v>91324.200913242006</v>
      </c>
      <c r="P124" s="347">
        <v>30000</v>
      </c>
      <c r="Q124" s="378" t="s">
        <v>85</v>
      </c>
      <c r="R124" s="490" t="s">
        <v>157</v>
      </c>
      <c r="S124" s="278">
        <f t="shared" si="15"/>
        <v>267393.97828760894</v>
      </c>
      <c r="T124" s="248"/>
      <c r="U124" s="248"/>
      <c r="V124" s="250"/>
      <c r="W124" s="366" t="s">
        <v>1114</v>
      </c>
      <c r="X124" s="285" t="s">
        <v>1115</v>
      </c>
      <c r="Y124" s="249"/>
      <c r="Z124" s="285"/>
      <c r="AA124" s="405" t="s">
        <v>30</v>
      </c>
      <c r="AB124" s="609" t="s">
        <v>1108</v>
      </c>
    </row>
    <row r="125" spans="1:28" ht="53.25" customHeight="1">
      <c r="A125" s="241" t="s">
        <v>1117</v>
      </c>
      <c r="B125" s="313" t="s">
        <v>33</v>
      </c>
      <c r="C125" s="316" t="s">
        <v>1110</v>
      </c>
      <c r="D125" s="472" t="s">
        <v>1118</v>
      </c>
      <c r="E125" s="473" t="s">
        <v>357</v>
      </c>
      <c r="F125" s="370">
        <v>2021</v>
      </c>
      <c r="G125" s="366">
        <v>2021</v>
      </c>
      <c r="H125" s="239" t="s">
        <v>1119</v>
      </c>
      <c r="I125" s="239" t="s">
        <v>924</v>
      </c>
      <c r="J125" s="316"/>
      <c r="K125" s="239" t="s">
        <v>1120</v>
      </c>
      <c r="L125" s="428">
        <v>32000</v>
      </c>
      <c r="M125" s="316"/>
      <c r="N125" s="370"/>
      <c r="O125" s="283">
        <f t="shared" si="14"/>
        <v>323643.83561643836</v>
      </c>
      <c r="P125" s="963">
        <v>106317</v>
      </c>
      <c r="Q125" s="242" t="s">
        <v>53</v>
      </c>
      <c r="R125" s="366" t="s">
        <v>157</v>
      </c>
      <c r="S125" s="260">
        <f t="shared" si="15"/>
        <v>947617.51965345733</v>
      </c>
      <c r="T125" s="316"/>
      <c r="U125" s="316"/>
      <c r="V125" s="886">
        <v>32538</v>
      </c>
      <c r="W125" s="316"/>
      <c r="X125" s="316"/>
      <c r="Y125" s="316"/>
      <c r="Z125" s="316"/>
      <c r="AA125" s="405" t="s">
        <v>30</v>
      </c>
      <c r="AB125" s="609" t="s">
        <v>1116</v>
      </c>
    </row>
    <row r="126" spans="1:28" ht="51.75" customHeight="1">
      <c r="A126" s="313" t="s">
        <v>1122</v>
      </c>
      <c r="B126" s="419" t="s">
        <v>33</v>
      </c>
      <c r="C126" s="316" t="s">
        <v>1110</v>
      </c>
      <c r="D126" s="475" t="s">
        <v>1111</v>
      </c>
      <c r="E126" s="473" t="s">
        <v>357</v>
      </c>
      <c r="F126" s="248">
        <v>2016</v>
      </c>
      <c r="G126" s="239"/>
      <c r="H126" s="239" t="s">
        <v>1123</v>
      </c>
      <c r="I126" s="1218" t="s">
        <v>943</v>
      </c>
      <c r="J126" s="316"/>
      <c r="K126" s="272" t="s">
        <v>1124</v>
      </c>
      <c r="L126" s="503">
        <v>14150</v>
      </c>
      <c r="M126" s="316"/>
      <c r="N126" s="278">
        <f>O126/0.6</f>
        <v>152207.00152207003</v>
      </c>
      <c r="O126" s="278">
        <f t="shared" si="14"/>
        <v>91324.200913242006</v>
      </c>
      <c r="P126" s="504">
        <v>30000</v>
      </c>
      <c r="Q126" s="1069" t="s">
        <v>85</v>
      </c>
      <c r="R126" s="840" t="s">
        <v>157</v>
      </c>
      <c r="S126" s="388">
        <f t="shared" si="15"/>
        <v>267393.97828760894</v>
      </c>
      <c r="T126" s="316"/>
      <c r="U126" s="316"/>
      <c r="V126" s="914">
        <v>14388</v>
      </c>
      <c r="W126" s="316" t="s">
        <v>1125</v>
      </c>
      <c r="X126" s="316"/>
      <c r="Y126" s="316"/>
      <c r="Z126" s="316"/>
      <c r="AA126" s="405" t="s">
        <v>30</v>
      </c>
      <c r="AB126" s="239" t="s">
        <v>1121</v>
      </c>
    </row>
    <row r="127" spans="1:28" ht="63.75" customHeight="1">
      <c r="A127" s="313" t="s">
        <v>1127</v>
      </c>
      <c r="B127" s="419" t="s">
        <v>33</v>
      </c>
      <c r="C127" s="316" t="s">
        <v>1110</v>
      </c>
      <c r="D127" s="475" t="s">
        <v>1118</v>
      </c>
      <c r="E127" s="473" t="s">
        <v>357</v>
      </c>
      <c r="F127" s="370">
        <v>2016</v>
      </c>
      <c r="G127" s="316"/>
      <c r="H127" s="239" t="s">
        <v>1123</v>
      </c>
      <c r="I127" s="1218"/>
      <c r="J127" s="316"/>
      <c r="K127" s="272" t="s">
        <v>1128</v>
      </c>
      <c r="L127" s="915">
        <v>28800</v>
      </c>
      <c r="M127" s="316"/>
      <c r="N127" s="887">
        <f>O127/0.6</f>
        <v>304414.00304414006</v>
      </c>
      <c r="O127" s="278">
        <f t="shared" si="14"/>
        <v>182648.40182648401</v>
      </c>
      <c r="P127" s="504">
        <v>60000</v>
      </c>
      <c r="Q127" s="1069" t="s">
        <v>85</v>
      </c>
      <c r="R127" s="840" t="s">
        <v>157</v>
      </c>
      <c r="S127" s="260">
        <f t="shared" si="15"/>
        <v>534787.95657521789</v>
      </c>
      <c r="T127" s="316"/>
      <c r="U127" s="316"/>
      <c r="V127" s="505">
        <v>61008</v>
      </c>
      <c r="W127" s="316"/>
      <c r="X127" s="316"/>
      <c r="Y127" s="316"/>
      <c r="Z127" s="316"/>
      <c r="AA127" s="405" t="s">
        <v>30</v>
      </c>
      <c r="AB127" s="239" t="s">
        <v>1126</v>
      </c>
    </row>
    <row r="128" spans="1:28" ht="55.5" customHeight="1">
      <c r="A128" s="241" t="s">
        <v>1130</v>
      </c>
      <c r="B128" s="313" t="s">
        <v>33</v>
      </c>
      <c r="C128" s="316" t="s">
        <v>1110</v>
      </c>
      <c r="D128" s="472" t="s">
        <v>1131</v>
      </c>
      <c r="E128" s="473" t="s">
        <v>357</v>
      </c>
      <c r="F128" s="370">
        <v>2020</v>
      </c>
      <c r="G128" s="366">
        <v>2020</v>
      </c>
      <c r="H128" s="239" t="s">
        <v>1119</v>
      </c>
      <c r="I128" s="239" t="s">
        <v>924</v>
      </c>
      <c r="J128" s="316"/>
      <c r="K128" s="239" t="s">
        <v>1132</v>
      </c>
      <c r="L128" s="428">
        <v>60000</v>
      </c>
      <c r="M128" s="316"/>
      <c r="N128" s="370"/>
      <c r="O128" s="278">
        <f t="shared" si="14"/>
        <v>104115.67732115676</v>
      </c>
      <c r="P128" s="963">
        <v>34202</v>
      </c>
      <c r="Q128" s="242" t="s">
        <v>53</v>
      </c>
      <c r="R128" s="366" t="s">
        <v>157</v>
      </c>
      <c r="S128" s="260">
        <f t="shared" si="15"/>
        <v>304846.96151309338</v>
      </c>
      <c r="T128" s="316"/>
      <c r="U128" s="316"/>
      <c r="V128" s="885">
        <v>61008</v>
      </c>
      <c r="W128" s="316"/>
      <c r="X128" s="316"/>
      <c r="Y128" s="316"/>
      <c r="Z128" s="316"/>
      <c r="AA128" s="405" t="s">
        <v>30</v>
      </c>
      <c r="AB128" s="609" t="s">
        <v>1129</v>
      </c>
    </row>
    <row r="129" spans="1:28" ht="53.25" customHeight="1">
      <c r="A129" s="241" t="s">
        <v>1134</v>
      </c>
      <c r="B129" s="419" t="s">
        <v>33</v>
      </c>
      <c r="C129" s="239" t="s">
        <v>1110</v>
      </c>
      <c r="D129" s="475" t="s">
        <v>1111</v>
      </c>
      <c r="E129" s="480" t="s">
        <v>357</v>
      </c>
      <c r="F129" s="370">
        <v>2017</v>
      </c>
      <c r="G129" s="370"/>
      <c r="H129" s="239" t="s">
        <v>1112</v>
      </c>
      <c r="I129" s="243" t="s">
        <v>943</v>
      </c>
      <c r="J129" s="239"/>
      <c r="K129" s="272" t="s">
        <v>1135</v>
      </c>
      <c r="L129" s="915">
        <v>21000</v>
      </c>
      <c r="M129" s="239"/>
      <c r="N129" s="887">
        <f>O129/0.6</f>
        <v>380517.50380517502</v>
      </c>
      <c r="O129" s="887">
        <f t="shared" si="14"/>
        <v>228310.50228310502</v>
      </c>
      <c r="P129" s="347">
        <v>75000</v>
      </c>
      <c r="Q129" s="360" t="s">
        <v>85</v>
      </c>
      <c r="R129" s="840" t="s">
        <v>157</v>
      </c>
      <c r="S129" s="388">
        <f t="shared" si="15"/>
        <v>668484.94571902242</v>
      </c>
      <c r="T129" s="248"/>
      <c r="U129" s="248" t="s">
        <v>441</v>
      </c>
      <c r="V129" s="505">
        <v>21353</v>
      </c>
      <c r="W129" s="366" t="s">
        <v>1125</v>
      </c>
      <c r="X129" s="249" t="s">
        <v>1115</v>
      </c>
      <c r="Y129" s="249" t="s">
        <v>1136</v>
      </c>
      <c r="Z129" s="249"/>
      <c r="AA129" s="405" t="s">
        <v>30</v>
      </c>
      <c r="AB129" s="239" t="s">
        <v>1133</v>
      </c>
    </row>
    <row r="130" spans="1:28" ht="42" customHeight="1">
      <c r="A130" s="241" t="s">
        <v>1138</v>
      </c>
      <c r="B130" s="313" t="s">
        <v>33</v>
      </c>
      <c r="C130" s="316" t="s">
        <v>1110</v>
      </c>
      <c r="D130" s="472" t="s">
        <v>1131</v>
      </c>
      <c r="E130" s="473" t="s">
        <v>357</v>
      </c>
      <c r="F130" s="248" t="s">
        <v>1139</v>
      </c>
      <c r="G130" s="366">
        <v>2021</v>
      </c>
      <c r="H130" s="239" t="s">
        <v>1119</v>
      </c>
      <c r="I130" s="239" t="s">
        <v>924</v>
      </c>
      <c r="J130" s="316"/>
      <c r="K130" s="239" t="s">
        <v>1140</v>
      </c>
      <c r="L130" s="428">
        <v>31975</v>
      </c>
      <c r="M130" s="316"/>
      <c r="N130" s="370"/>
      <c r="O130" s="887">
        <v>106</v>
      </c>
      <c r="P130" s="963">
        <v>106317</v>
      </c>
      <c r="Q130" s="446" t="s">
        <v>53</v>
      </c>
      <c r="R130" s="366" t="s">
        <v>157</v>
      </c>
      <c r="S130" s="260">
        <f t="shared" si="15"/>
        <v>947617.51965345733</v>
      </c>
      <c r="T130" s="316"/>
      <c r="U130" s="316"/>
      <c r="V130" s="885">
        <v>32329</v>
      </c>
      <c r="W130" s="316"/>
      <c r="X130" s="316"/>
      <c r="Y130" s="316"/>
      <c r="Z130" s="316"/>
      <c r="AA130" s="405" t="s">
        <v>30</v>
      </c>
      <c r="AB130" s="609" t="s">
        <v>1137</v>
      </c>
    </row>
    <row r="131" spans="1:28" ht="42" customHeight="1">
      <c r="A131" s="241" t="s">
        <v>1142</v>
      </c>
      <c r="B131" s="313" t="s">
        <v>33</v>
      </c>
      <c r="C131" s="316" t="s">
        <v>1110</v>
      </c>
      <c r="D131" s="472" t="s">
        <v>1131</v>
      </c>
      <c r="E131" s="473" t="s">
        <v>357</v>
      </c>
      <c r="F131" s="248" t="s">
        <v>1139</v>
      </c>
      <c r="G131" s="366">
        <v>2021</v>
      </c>
      <c r="H131" s="239" t="s">
        <v>1119</v>
      </c>
      <c r="I131" s="239" t="s">
        <v>924</v>
      </c>
      <c r="J131" s="316"/>
      <c r="K131" s="239" t="s">
        <v>1140</v>
      </c>
      <c r="L131" s="428">
        <v>79500</v>
      </c>
      <c r="M131" s="316"/>
      <c r="N131" s="370"/>
      <c r="O131" s="887">
        <f>P131/(0.001*365*0.9)</f>
        <v>323643.83561643836</v>
      </c>
      <c r="P131" s="963">
        <v>106317</v>
      </c>
      <c r="Q131" s="446" t="s">
        <v>53</v>
      </c>
      <c r="R131" s="366" t="s">
        <v>157</v>
      </c>
      <c r="S131" s="260">
        <f t="shared" si="15"/>
        <v>947617.51965345733</v>
      </c>
      <c r="T131" s="316"/>
      <c r="U131" s="316"/>
      <c r="V131" s="885">
        <v>80836</v>
      </c>
      <c r="W131" s="316"/>
      <c r="X131" s="316"/>
      <c r="Y131" s="316"/>
      <c r="Z131" s="316"/>
      <c r="AA131" s="405" t="s">
        <v>30</v>
      </c>
      <c r="AB131" s="609" t="s">
        <v>1141</v>
      </c>
    </row>
    <row r="132" spans="1:28" ht="87.75" customHeight="1">
      <c r="A132" s="484" t="s">
        <v>3078</v>
      </c>
      <c r="B132" s="313" t="s">
        <v>33</v>
      </c>
      <c r="C132" s="249" t="s">
        <v>1144</v>
      </c>
      <c r="D132" s="288" t="s">
        <v>1145</v>
      </c>
      <c r="E132" s="473" t="s">
        <v>763</v>
      </c>
      <c r="F132" s="358" t="s">
        <v>834</v>
      </c>
      <c r="G132" s="1226" t="s">
        <v>754</v>
      </c>
      <c r="H132" s="239" t="s">
        <v>1146</v>
      </c>
      <c r="I132" s="300" t="s">
        <v>116</v>
      </c>
      <c r="J132" s="300" t="s">
        <v>1147</v>
      </c>
      <c r="K132" s="300" t="s">
        <v>1148</v>
      </c>
      <c r="L132" s="433"/>
      <c r="M132" s="314">
        <v>500000</v>
      </c>
      <c r="N132" s="278">
        <f>O132/0.6</f>
        <v>6595636.7326230342</v>
      </c>
      <c r="O132" s="887">
        <f>P132/(0.001*365*0.9)</f>
        <v>3957382.0395738203</v>
      </c>
      <c r="P132" s="347">
        <v>1300000</v>
      </c>
      <c r="Q132" s="378" t="s">
        <v>85</v>
      </c>
      <c r="R132" s="285" t="s">
        <v>0</v>
      </c>
      <c r="S132" s="260">
        <f>P132/0.112194</f>
        <v>11587072.392463055</v>
      </c>
      <c r="T132" s="278">
        <v>16000000</v>
      </c>
      <c r="U132" s="318" t="s">
        <v>1149</v>
      </c>
      <c r="V132" s="916"/>
      <c r="W132" s="300" t="s">
        <v>1150</v>
      </c>
      <c r="X132" s="272" t="s">
        <v>1151</v>
      </c>
      <c r="Y132" s="285" t="s">
        <v>1152</v>
      </c>
      <c r="Z132" s="272"/>
      <c r="AA132" s="239"/>
      <c r="AB132" s="239" t="s">
        <v>3077</v>
      </c>
    </row>
    <row r="133" spans="1:28" ht="33" customHeight="1">
      <c r="A133" s="265" t="s">
        <v>2901</v>
      </c>
      <c r="B133" s="419" t="s">
        <v>33</v>
      </c>
      <c r="C133" s="286" t="s">
        <v>2903</v>
      </c>
      <c r="D133" s="288" t="s">
        <v>2904</v>
      </c>
      <c r="E133" s="498" t="s">
        <v>763</v>
      </c>
      <c r="F133" s="684"/>
      <c r="G133" s="509">
        <v>44927</v>
      </c>
      <c r="H133" s="286" t="s">
        <v>2702</v>
      </c>
      <c r="I133" s="710" t="s">
        <v>924</v>
      </c>
      <c r="J133" s="286"/>
      <c r="K133" s="710" t="s">
        <v>2905</v>
      </c>
      <c r="L133" s="510"/>
      <c r="M133" s="286"/>
      <c r="N133" s="917"/>
      <c r="O133" s="917"/>
      <c r="P133" s="748">
        <v>265114</v>
      </c>
      <c r="Q133" s="484" t="s">
        <v>85</v>
      </c>
      <c r="R133" s="910"/>
      <c r="S133" s="1157">
        <v>2363000</v>
      </c>
      <c r="T133" s="500"/>
      <c r="U133" s="485"/>
      <c r="V133" s="801">
        <v>80000</v>
      </c>
      <c r="W133" s="485"/>
      <c r="X133" s="485"/>
      <c r="Y133" s="485"/>
      <c r="Z133" s="485"/>
      <c r="AA133" s="286"/>
      <c r="AB133" s="1142" t="s">
        <v>2902</v>
      </c>
    </row>
    <row r="134" spans="1:28" ht="48" customHeight="1">
      <c r="A134" s="484" t="s">
        <v>1501</v>
      </c>
      <c r="B134" s="419" t="s">
        <v>33</v>
      </c>
      <c r="C134" s="485" t="s">
        <v>916</v>
      </c>
      <c r="D134" s="288" t="s">
        <v>1502</v>
      </c>
      <c r="E134" s="512" t="s">
        <v>1503</v>
      </c>
      <c r="F134" s="1227" t="s">
        <v>1504</v>
      </c>
      <c r="G134" s="1228" t="s">
        <v>774</v>
      </c>
      <c r="H134" s="266" t="s">
        <v>1505</v>
      </c>
      <c r="I134" s="271" t="s">
        <v>924</v>
      </c>
      <c r="J134" s="286"/>
      <c r="K134" s="266" t="s">
        <v>1506</v>
      </c>
      <c r="L134" s="666"/>
      <c r="M134" s="510"/>
      <c r="N134" s="417">
        <f>O134/0.6</f>
        <v>91666.666666666672</v>
      </c>
      <c r="O134" s="281">
        <v>55000</v>
      </c>
      <c r="P134" s="283">
        <f>O134*0.001*365*0.9</f>
        <v>18067.5</v>
      </c>
      <c r="Q134" s="328" t="s">
        <v>85</v>
      </c>
      <c r="R134" s="485"/>
      <c r="S134" s="246">
        <f t="shared" si="15"/>
        <v>161038.0234237125</v>
      </c>
      <c r="T134" s="661"/>
      <c r="U134" s="510"/>
      <c r="V134" s="918"/>
      <c r="W134" s="266" t="s">
        <v>1461</v>
      </c>
      <c r="X134" s="286"/>
      <c r="Y134" s="485"/>
      <c r="Z134" s="286"/>
      <c r="AA134" s="286"/>
      <c r="AB134" s="609" t="s">
        <v>2284</v>
      </c>
    </row>
    <row r="135" spans="1:28" ht="48" customHeight="1">
      <c r="A135" s="484" t="s">
        <v>2208</v>
      </c>
      <c r="B135" s="419" t="s">
        <v>33</v>
      </c>
      <c r="C135" s="485" t="s">
        <v>916</v>
      </c>
      <c r="D135" s="288" t="s">
        <v>1574</v>
      </c>
      <c r="E135" s="512" t="s">
        <v>528</v>
      </c>
      <c r="F135" s="506" t="s">
        <v>2257</v>
      </c>
      <c r="G135" s="1228" t="s">
        <v>754</v>
      </c>
      <c r="H135" s="266" t="s">
        <v>2210</v>
      </c>
      <c r="I135" s="919" t="s">
        <v>243</v>
      </c>
      <c r="J135" s="286"/>
      <c r="K135" s="266" t="s">
        <v>2211</v>
      </c>
      <c r="L135" s="920">
        <v>1650</v>
      </c>
      <c r="M135" s="510"/>
      <c r="N135" s="417">
        <f>O135/0.6</f>
        <v>319634.70319634705</v>
      </c>
      <c r="O135" s="283">
        <f>P135/(0.001*365*0.9)</f>
        <v>191780.82191780821</v>
      </c>
      <c r="P135" s="281">
        <v>63000</v>
      </c>
      <c r="Q135" s="274" t="s">
        <v>85</v>
      </c>
      <c r="R135" s="485"/>
      <c r="S135" s="246"/>
      <c r="T135" s="661"/>
      <c r="U135" s="510"/>
      <c r="V135" s="430">
        <v>18480</v>
      </c>
      <c r="W135" s="266" t="s">
        <v>1297</v>
      </c>
      <c r="X135" s="286"/>
      <c r="Y135" s="485"/>
      <c r="Z135" s="286"/>
      <c r="AA135" s="286"/>
      <c r="AB135" s="609" t="s">
        <v>2256</v>
      </c>
    </row>
    <row r="136" spans="1:28" ht="55.5" customHeight="1">
      <c r="A136" s="313" t="s">
        <v>1156</v>
      </c>
      <c r="B136" s="313" t="s">
        <v>33</v>
      </c>
      <c r="C136" s="316" t="s">
        <v>916</v>
      </c>
      <c r="D136" s="472" t="s">
        <v>1157</v>
      </c>
      <c r="E136" s="473" t="s">
        <v>528</v>
      </c>
      <c r="F136" s="248">
        <v>2020</v>
      </c>
      <c r="G136" s="285">
        <v>2021</v>
      </c>
      <c r="H136" s="285" t="s">
        <v>3152</v>
      </c>
      <c r="I136" s="309" t="s">
        <v>1079</v>
      </c>
      <c r="J136" s="485" t="s">
        <v>1079</v>
      </c>
      <c r="K136" s="286" t="s">
        <v>1158</v>
      </c>
      <c r="L136" s="921">
        <v>2000</v>
      </c>
      <c r="M136" s="508">
        <f>(L136*100*365)/2000</f>
        <v>36500</v>
      </c>
      <c r="N136" s="283">
        <f>230*60*24</f>
        <v>331200</v>
      </c>
      <c r="O136" s="283">
        <f>N136*0.6</f>
        <v>198720</v>
      </c>
      <c r="P136" s="282">
        <v>66750</v>
      </c>
      <c r="Q136" s="378" t="s">
        <v>85</v>
      </c>
      <c r="R136" s="366"/>
      <c r="S136" s="508">
        <f t="shared" ref="S136:S143" si="16">P136/0.112194</f>
        <v>594951.60168992996</v>
      </c>
      <c r="T136" s="316"/>
      <c r="U136" s="316"/>
      <c r="V136" s="885">
        <v>6950</v>
      </c>
      <c r="W136" s="249" t="s">
        <v>938</v>
      </c>
      <c r="X136" s="285" t="s">
        <v>0</v>
      </c>
      <c r="Y136" s="285" t="s">
        <v>1159</v>
      </c>
      <c r="Z136" s="315"/>
      <c r="AA136" s="316"/>
      <c r="AB136" s="239" t="s">
        <v>1155</v>
      </c>
    </row>
    <row r="137" spans="1:28" ht="44.25" customHeight="1">
      <c r="A137" s="313" t="s">
        <v>1160</v>
      </c>
      <c r="B137" s="313" t="s">
        <v>33</v>
      </c>
      <c r="C137" s="316" t="s">
        <v>916</v>
      </c>
      <c r="D137" s="472" t="s">
        <v>1161</v>
      </c>
      <c r="E137" s="473" t="s">
        <v>528</v>
      </c>
      <c r="F137" s="248">
        <v>2020</v>
      </c>
      <c r="G137" s="285">
        <v>2021</v>
      </c>
      <c r="H137" s="285" t="s">
        <v>3152</v>
      </c>
      <c r="I137" s="309" t="s">
        <v>1079</v>
      </c>
      <c r="J137" s="485" t="s">
        <v>1079</v>
      </c>
      <c r="K137" s="286" t="s">
        <v>1158</v>
      </c>
      <c r="L137" s="921">
        <v>2000</v>
      </c>
      <c r="M137" s="508">
        <f>(L137*100*365)/2000</f>
        <v>36500</v>
      </c>
      <c r="N137" s="283">
        <f>230*60*24</f>
        <v>331200</v>
      </c>
      <c r="O137" s="283">
        <f>N137*0.6</f>
        <v>198720</v>
      </c>
      <c r="P137" s="282">
        <v>58600</v>
      </c>
      <c r="Q137" s="378" t="s">
        <v>85</v>
      </c>
      <c r="R137" s="366"/>
      <c r="S137" s="508">
        <f t="shared" si="16"/>
        <v>522309.57092179614</v>
      </c>
      <c r="T137" s="316"/>
      <c r="U137" s="316"/>
      <c r="V137" s="885">
        <v>16915</v>
      </c>
      <c r="W137" s="249" t="s">
        <v>938</v>
      </c>
      <c r="X137" s="285" t="s">
        <v>0</v>
      </c>
      <c r="Y137" s="285" t="s">
        <v>1159</v>
      </c>
      <c r="Z137" s="315"/>
      <c r="AA137" s="316"/>
      <c r="AB137" s="239" t="s">
        <v>1155</v>
      </c>
    </row>
    <row r="138" spans="1:28" ht="46.5" customHeight="1">
      <c r="A138" s="241" t="s">
        <v>1162</v>
      </c>
      <c r="B138" s="313" t="s">
        <v>33</v>
      </c>
      <c r="C138" s="316" t="s">
        <v>916</v>
      </c>
      <c r="D138" s="472" t="s">
        <v>1163</v>
      </c>
      <c r="E138" s="473" t="s">
        <v>528</v>
      </c>
      <c r="F138" s="248">
        <v>2020</v>
      </c>
      <c r="G138" s="285">
        <v>2021</v>
      </c>
      <c r="H138" s="285" t="s">
        <v>3152</v>
      </c>
      <c r="I138" s="309" t="s">
        <v>243</v>
      </c>
      <c r="J138" s="249" t="s">
        <v>441</v>
      </c>
      <c r="K138" s="239" t="s">
        <v>1158</v>
      </c>
      <c r="L138" s="921">
        <v>1900</v>
      </c>
      <c r="M138" s="508">
        <f>(L138*100*365)/2000</f>
        <v>34675</v>
      </c>
      <c r="N138" s="283">
        <f>230*60*24</f>
        <v>331200</v>
      </c>
      <c r="O138" s="283">
        <f>N138*0.6</f>
        <v>198720</v>
      </c>
      <c r="P138" s="282">
        <v>48900</v>
      </c>
      <c r="Q138" s="378" t="s">
        <v>85</v>
      </c>
      <c r="R138" s="366"/>
      <c r="S138" s="508">
        <f t="shared" si="16"/>
        <v>435852.18460880261</v>
      </c>
      <c r="T138" s="316"/>
      <c r="U138" s="316"/>
      <c r="V138" s="885">
        <v>16844</v>
      </c>
      <c r="W138" s="249" t="s">
        <v>938</v>
      </c>
      <c r="X138" s="285" t="s">
        <v>0</v>
      </c>
      <c r="Y138" s="285" t="s">
        <v>1164</v>
      </c>
      <c r="Z138" s="315"/>
      <c r="AA138" s="316"/>
      <c r="AB138" s="239" t="s">
        <v>1155</v>
      </c>
    </row>
    <row r="139" spans="1:28" ht="48" customHeight="1">
      <c r="A139" s="241" t="s">
        <v>1165</v>
      </c>
      <c r="B139" s="313" t="s">
        <v>33</v>
      </c>
      <c r="C139" s="316" t="s">
        <v>916</v>
      </c>
      <c r="D139" s="472" t="s">
        <v>1157</v>
      </c>
      <c r="E139" s="473" t="s">
        <v>528</v>
      </c>
      <c r="F139" s="248">
        <v>2020</v>
      </c>
      <c r="G139" s="285">
        <v>2021</v>
      </c>
      <c r="H139" s="285" t="s">
        <v>3152</v>
      </c>
      <c r="I139" s="309" t="s">
        <v>1079</v>
      </c>
      <c r="J139" s="249" t="s">
        <v>1079</v>
      </c>
      <c r="K139" s="239" t="s">
        <v>1158</v>
      </c>
      <c r="L139" s="921">
        <v>850</v>
      </c>
      <c r="M139" s="508">
        <f>(L139*100*365)/2000</f>
        <v>15512.5</v>
      </c>
      <c r="N139" s="922">
        <v>132000</v>
      </c>
      <c r="O139" s="283">
        <f>N139*0.6</f>
        <v>79200</v>
      </c>
      <c r="P139" s="283">
        <f>O139*0.001*365*0.9</f>
        <v>26017.200000000001</v>
      </c>
      <c r="Q139" s="378" t="s">
        <v>85</v>
      </c>
      <c r="R139" s="366"/>
      <c r="S139" s="522">
        <f t="shared" si="16"/>
        <v>231894.75373014601</v>
      </c>
      <c r="T139" s="316"/>
      <c r="U139" s="316"/>
      <c r="V139" s="885">
        <v>3507</v>
      </c>
      <c r="W139" s="249" t="s">
        <v>938</v>
      </c>
      <c r="X139" s="285" t="s">
        <v>0</v>
      </c>
      <c r="Y139" s="285" t="s">
        <v>1159</v>
      </c>
      <c r="Z139" s="315"/>
      <c r="AA139" s="316"/>
      <c r="AB139" s="239" t="s">
        <v>1155</v>
      </c>
    </row>
    <row r="140" spans="1:28" ht="53.25" customHeight="1">
      <c r="A140" s="241" t="s">
        <v>1166</v>
      </c>
      <c r="B140" s="313" t="s">
        <v>33</v>
      </c>
      <c r="C140" s="316" t="s">
        <v>916</v>
      </c>
      <c r="D140" s="472" t="s">
        <v>1161</v>
      </c>
      <c r="E140" s="473" t="s">
        <v>528</v>
      </c>
      <c r="F140" s="248">
        <v>2020</v>
      </c>
      <c r="G140" s="285">
        <v>2021</v>
      </c>
      <c r="H140" s="285" t="s">
        <v>3152</v>
      </c>
      <c r="I140" s="309" t="s">
        <v>243</v>
      </c>
      <c r="J140" s="316" t="s">
        <v>243</v>
      </c>
      <c r="K140" s="239" t="s">
        <v>1158</v>
      </c>
      <c r="L140" s="921">
        <v>1800</v>
      </c>
      <c r="M140" s="508">
        <f>(L140*100*365)/2000</f>
        <v>32850</v>
      </c>
      <c r="N140" s="922">
        <v>116328</v>
      </c>
      <c r="O140" s="283">
        <f>N140*0.6</f>
        <v>69796.800000000003</v>
      </c>
      <c r="P140" s="283">
        <f>O140*0.001*365*0.9</f>
        <v>22928.248800000001</v>
      </c>
      <c r="Q140" s="378" t="s">
        <v>85</v>
      </c>
      <c r="R140" s="366"/>
      <c r="S140" s="522">
        <f t="shared" si="16"/>
        <v>204362.52206000322</v>
      </c>
      <c r="T140" s="316"/>
      <c r="U140" s="316"/>
      <c r="V140" s="885">
        <v>5428</v>
      </c>
      <c r="W140" s="249" t="s">
        <v>938</v>
      </c>
      <c r="X140" s="285" t="s">
        <v>0</v>
      </c>
      <c r="Y140" s="300" t="s">
        <v>1167</v>
      </c>
      <c r="Z140" s="315"/>
      <c r="AA140" s="316"/>
      <c r="AB140" s="239" t="s">
        <v>1155</v>
      </c>
    </row>
    <row r="141" spans="1:28" ht="48" customHeight="1">
      <c r="A141" s="484" t="s">
        <v>2207</v>
      </c>
      <c r="B141" s="419" t="s">
        <v>33</v>
      </c>
      <c r="C141" s="485" t="s">
        <v>916</v>
      </c>
      <c r="D141" s="288" t="s">
        <v>1157</v>
      </c>
      <c r="E141" s="512" t="s">
        <v>528</v>
      </c>
      <c r="F141" s="506" t="s">
        <v>2347</v>
      </c>
      <c r="G141" s="1228" t="s">
        <v>754</v>
      </c>
      <c r="H141" s="266" t="s">
        <v>2210</v>
      </c>
      <c r="I141" s="919" t="s">
        <v>1012</v>
      </c>
      <c r="J141" s="286"/>
      <c r="K141" s="266" t="s">
        <v>2211</v>
      </c>
      <c r="L141" s="920">
        <v>2250</v>
      </c>
      <c r="M141" s="510"/>
      <c r="N141" s="417">
        <f>O141/0.6</f>
        <v>319634.70319634705</v>
      </c>
      <c r="O141" s="283">
        <f>P141/(0.001*365*0.9)</f>
        <v>191780.82191780821</v>
      </c>
      <c r="P141" s="281">
        <v>63000</v>
      </c>
      <c r="Q141" s="274" t="s">
        <v>85</v>
      </c>
      <c r="R141" s="366" t="s">
        <v>0</v>
      </c>
      <c r="S141" s="260">
        <f t="shared" si="16"/>
        <v>561527.3544039788</v>
      </c>
      <c r="T141" s="661"/>
      <c r="U141" s="510"/>
      <c r="V141" s="430">
        <v>18480</v>
      </c>
      <c r="W141" s="266" t="s">
        <v>1297</v>
      </c>
      <c r="X141" s="286"/>
      <c r="Y141" s="485"/>
      <c r="Z141" s="286"/>
      <c r="AA141" s="286"/>
      <c r="AB141" s="609" t="s">
        <v>2348</v>
      </c>
    </row>
    <row r="142" spans="1:28" ht="48" customHeight="1">
      <c r="A142" s="484" t="s">
        <v>2209</v>
      </c>
      <c r="B142" s="419" t="s">
        <v>33</v>
      </c>
      <c r="C142" s="485" t="s">
        <v>916</v>
      </c>
      <c r="D142" s="288" t="s">
        <v>1507</v>
      </c>
      <c r="E142" s="512" t="s">
        <v>528</v>
      </c>
      <c r="F142" s="506" t="s">
        <v>2347</v>
      </c>
      <c r="G142" s="1228" t="s">
        <v>754</v>
      </c>
      <c r="H142" s="266" t="s">
        <v>2210</v>
      </c>
      <c r="I142" s="919" t="s">
        <v>1012</v>
      </c>
      <c r="J142" s="286"/>
      <c r="K142" s="266" t="s">
        <v>2211</v>
      </c>
      <c r="L142" s="920">
        <v>3500</v>
      </c>
      <c r="M142" s="510"/>
      <c r="N142" s="417">
        <f>O142/0.6</f>
        <v>319634.70319634705</v>
      </c>
      <c r="O142" s="283">
        <f>P142/(0.001*365*0.9)</f>
        <v>191780.82191780821</v>
      </c>
      <c r="P142" s="281">
        <v>63000</v>
      </c>
      <c r="Q142" s="274" t="s">
        <v>85</v>
      </c>
      <c r="R142" s="366" t="s">
        <v>0</v>
      </c>
      <c r="S142" s="260">
        <f t="shared" si="16"/>
        <v>561527.3544039788</v>
      </c>
      <c r="T142" s="661"/>
      <c r="U142" s="510"/>
      <c r="V142" s="430">
        <v>18480</v>
      </c>
      <c r="W142" s="266" t="s">
        <v>1297</v>
      </c>
      <c r="X142" s="286"/>
      <c r="Y142" s="485"/>
      <c r="Z142" s="286"/>
      <c r="AA142" s="286"/>
      <c r="AB142" s="609" t="s">
        <v>2348</v>
      </c>
    </row>
    <row r="143" spans="1:28" ht="73.5" customHeight="1">
      <c r="A143" s="484" t="s">
        <v>1510</v>
      </c>
      <c r="B143" s="484" t="s">
        <v>33</v>
      </c>
      <c r="C143" s="485" t="s">
        <v>1026</v>
      </c>
      <c r="D143" s="288" t="s">
        <v>1507</v>
      </c>
      <c r="E143" s="289" t="s">
        <v>1508</v>
      </c>
      <c r="F143" s="612" t="s">
        <v>754</v>
      </c>
      <c r="G143" s="267" t="s">
        <v>1420</v>
      </c>
      <c r="H143" s="267" t="s">
        <v>1509</v>
      </c>
      <c r="I143" s="267" t="s">
        <v>202</v>
      </c>
      <c r="J143" s="485"/>
      <c r="K143" s="267" t="s">
        <v>2372</v>
      </c>
      <c r="L143" s="485"/>
      <c r="M143" s="485"/>
      <c r="N143" s="283"/>
      <c r="O143" s="293"/>
      <c r="P143" s="283">
        <v>88060</v>
      </c>
      <c r="Q143" s="331" t="s">
        <v>85</v>
      </c>
      <c r="R143" s="490"/>
      <c r="S143" s="260">
        <f t="shared" si="16"/>
        <v>784890.45760022814</v>
      </c>
      <c r="T143" s="286"/>
      <c r="U143" s="286"/>
      <c r="V143" s="510"/>
      <c r="W143" s="266" t="s">
        <v>1024</v>
      </c>
      <c r="X143" s="499"/>
      <c r="Y143" s="499"/>
      <c r="Z143" s="266"/>
      <c r="AA143" s="266" t="s">
        <v>30</v>
      </c>
      <c r="AB143" s="609" t="s">
        <v>2563</v>
      </c>
    </row>
    <row r="144" spans="1:28" ht="72" customHeight="1">
      <c r="A144" s="287" t="s">
        <v>2254</v>
      </c>
      <c r="B144" s="287" t="s">
        <v>33</v>
      </c>
      <c r="C144" s="286" t="s">
        <v>1026</v>
      </c>
      <c r="D144" s="288" t="s">
        <v>479</v>
      </c>
      <c r="E144" s="498" t="s">
        <v>528</v>
      </c>
      <c r="F144" s="277">
        <v>2022</v>
      </c>
      <c r="G144" s="286" t="s">
        <v>3046</v>
      </c>
      <c r="H144" s="258" t="s">
        <v>2255</v>
      </c>
      <c r="I144" s="286"/>
      <c r="J144" s="286"/>
      <c r="K144" s="258" t="s">
        <v>3047</v>
      </c>
      <c r="L144" s="305">
        <v>2200</v>
      </c>
      <c r="M144" s="510"/>
      <c r="N144" s="278">
        <f>O144/0.6</f>
        <v>251141.5525114155</v>
      </c>
      <c r="O144" s="304">
        <f>55000000/365</f>
        <v>150684.9315068493</v>
      </c>
      <c r="P144" s="278">
        <f>O144*0.001*365*0.9</f>
        <v>49499.999999999993</v>
      </c>
      <c r="Q144" s="274" t="s">
        <v>85</v>
      </c>
      <c r="R144" s="657"/>
      <c r="S144" s="657"/>
      <c r="T144" s="485"/>
      <c r="U144" s="678"/>
      <c r="V144" s="742">
        <v>14000</v>
      </c>
      <c r="W144" s="485"/>
      <c r="X144" s="308"/>
      <c r="Y144" s="485"/>
      <c r="Z144" s="485"/>
      <c r="AA144" s="485"/>
      <c r="AB144" s="609" t="s">
        <v>3045</v>
      </c>
    </row>
    <row r="145" spans="1:28" ht="52.5" customHeight="1">
      <c r="A145" s="241" t="s">
        <v>1168</v>
      </c>
      <c r="B145" s="313" t="s">
        <v>33</v>
      </c>
      <c r="C145" s="300" t="s">
        <v>1169</v>
      </c>
      <c r="D145" s="475" t="s">
        <v>1170</v>
      </c>
      <c r="E145" s="480" t="s">
        <v>199</v>
      </c>
      <c r="F145" s="248"/>
      <c r="G145" s="300" t="s">
        <v>754</v>
      </c>
      <c r="H145" s="239" t="s">
        <v>1171</v>
      </c>
      <c r="I145" s="239" t="s">
        <v>190</v>
      </c>
      <c r="J145" s="239"/>
      <c r="K145" s="318" t="s">
        <v>1172</v>
      </c>
      <c r="L145" s="250" t="s">
        <v>71</v>
      </c>
      <c r="M145" s="239"/>
      <c r="N145" s="278">
        <f>O145/0.6</f>
        <v>3734145.1040081177</v>
      </c>
      <c r="O145" s="278">
        <f>P145/(0.001*365*0.9)</f>
        <v>2240487.0624048705</v>
      </c>
      <c r="P145" s="273">
        <v>736000</v>
      </c>
      <c r="Q145" s="348" t="s">
        <v>85</v>
      </c>
      <c r="R145" s="493" t="s">
        <v>0</v>
      </c>
      <c r="S145" s="260">
        <f t="shared" ref="S145:S150" si="17">P145/0.112194</f>
        <v>6560065.6006560065</v>
      </c>
      <c r="T145" s="239"/>
      <c r="U145" s="239"/>
      <c r="V145" s="239"/>
      <c r="W145" s="239" t="s">
        <v>1173</v>
      </c>
      <c r="X145" s="239" t="s">
        <v>1174</v>
      </c>
      <c r="Y145" s="239"/>
      <c r="Z145" s="239"/>
      <c r="AA145" s="316" t="s">
        <v>30</v>
      </c>
      <c r="AB145" s="239" t="s">
        <v>2169</v>
      </c>
    </row>
    <row r="146" spans="1:28" ht="66" customHeight="1">
      <c r="A146" s="419" t="s">
        <v>1176</v>
      </c>
      <c r="B146" s="419" t="s">
        <v>33</v>
      </c>
      <c r="C146" s="308" t="s">
        <v>916</v>
      </c>
      <c r="D146" s="511" t="s">
        <v>198</v>
      </c>
      <c r="E146" s="512" t="s">
        <v>199</v>
      </c>
      <c r="F146" s="513">
        <v>2018</v>
      </c>
      <c r="G146" s="514" t="s">
        <v>1177</v>
      </c>
      <c r="H146" s="286" t="s">
        <v>1178</v>
      </c>
      <c r="I146" s="393" t="s">
        <v>1179</v>
      </c>
      <c r="J146" s="308" t="s">
        <v>1180</v>
      </c>
      <c r="K146" s="286" t="s">
        <v>1181</v>
      </c>
      <c r="L146" s="894">
        <v>33000</v>
      </c>
      <c r="M146" s="308"/>
      <c r="N146" s="515">
        <f>3000*60*24</f>
        <v>4320000</v>
      </c>
      <c r="O146" s="887">
        <f>N146*0.6</f>
        <v>2592000</v>
      </c>
      <c r="P146" s="278">
        <f>O146*(0.001*365*0.9)</f>
        <v>851472</v>
      </c>
      <c r="Q146" s="287" t="s">
        <v>85</v>
      </c>
      <c r="R146" s="495" t="s">
        <v>0</v>
      </c>
      <c r="S146" s="246">
        <f t="shared" si="17"/>
        <v>7589282.8493502326</v>
      </c>
      <c r="T146" s="308"/>
      <c r="U146" s="483"/>
      <c r="V146" s="318">
        <v>136000</v>
      </c>
      <c r="W146" s="308" t="s">
        <v>938</v>
      </c>
      <c r="X146" s="308"/>
      <c r="Y146" s="415" t="s">
        <v>1182</v>
      </c>
      <c r="Z146" s="415"/>
      <c r="AA146" s="316" t="s">
        <v>30</v>
      </c>
      <c r="AB146" s="609" t="s">
        <v>1175</v>
      </c>
    </row>
    <row r="147" spans="1:28" ht="46.7" customHeight="1">
      <c r="A147" s="360" t="s">
        <v>1184</v>
      </c>
      <c r="B147" s="287" t="s">
        <v>33</v>
      </c>
      <c r="C147" s="249" t="s">
        <v>916</v>
      </c>
      <c r="D147" s="475" t="s">
        <v>1185</v>
      </c>
      <c r="E147" s="491" t="s">
        <v>1186</v>
      </c>
      <c r="F147" s="248">
        <v>2020</v>
      </c>
      <c r="G147" s="249">
        <v>2021</v>
      </c>
      <c r="H147" s="249" t="s">
        <v>1187</v>
      </c>
      <c r="I147" s="285" t="s">
        <v>243</v>
      </c>
      <c r="J147" s="285" t="s">
        <v>441</v>
      </c>
      <c r="K147" s="239" t="s">
        <v>2914</v>
      </c>
      <c r="L147" s="902">
        <v>11700</v>
      </c>
      <c r="M147" s="249" t="s">
        <v>1188</v>
      </c>
      <c r="N147" s="347">
        <f>262*60*24</f>
        <v>377280</v>
      </c>
      <c r="O147" s="347">
        <f>N147*0.6</f>
        <v>226368</v>
      </c>
      <c r="P147" s="515">
        <v>217000</v>
      </c>
      <c r="Q147" s="599" t="s">
        <v>85</v>
      </c>
      <c r="R147" s="518"/>
      <c r="S147" s="522">
        <f t="shared" si="17"/>
        <v>1934149.7762803715</v>
      </c>
      <c r="T147" s="249"/>
      <c r="U147" s="927"/>
      <c r="V147" s="460">
        <v>64000</v>
      </c>
      <c r="W147" s="285" t="s">
        <v>1173</v>
      </c>
      <c r="X147" s="285" t="s">
        <v>0</v>
      </c>
      <c r="Y147" s="285" t="s">
        <v>1189</v>
      </c>
      <c r="Z147" s="300"/>
      <c r="AA147" s="249"/>
      <c r="AB147" s="609" t="s">
        <v>1183</v>
      </c>
    </row>
    <row r="148" spans="1:28" ht="73.5" customHeight="1">
      <c r="A148" s="484" t="s">
        <v>2380</v>
      </c>
      <c r="B148" s="484" t="s">
        <v>33</v>
      </c>
      <c r="C148" s="485" t="s">
        <v>916</v>
      </c>
      <c r="D148" s="288" t="s">
        <v>2241</v>
      </c>
      <c r="E148" s="289" t="s">
        <v>1186</v>
      </c>
      <c r="F148" s="614" t="s">
        <v>2379</v>
      </c>
      <c r="G148" s="269" t="s">
        <v>2547</v>
      </c>
      <c r="H148" s="266" t="s">
        <v>491</v>
      </c>
      <c r="I148" s="269" t="s">
        <v>243</v>
      </c>
      <c r="J148" s="485"/>
      <c r="K148" s="372" t="s">
        <v>2546</v>
      </c>
      <c r="L148" s="485"/>
      <c r="M148" s="485"/>
      <c r="N148" s="293">
        <v>1200000</v>
      </c>
      <c r="O148" s="283">
        <f>N148*0.6</f>
        <v>720000</v>
      </c>
      <c r="P148" s="283">
        <f>O148*(0.001*365*0.9)</f>
        <v>236520</v>
      </c>
      <c r="Q148" s="284" t="s">
        <v>85</v>
      </c>
      <c r="R148" s="923" t="s">
        <v>157</v>
      </c>
      <c r="S148" s="260">
        <f t="shared" si="17"/>
        <v>2108134.1248195092</v>
      </c>
      <c r="T148" s="554"/>
      <c r="U148" s="300"/>
      <c r="V148" s="553"/>
      <c r="W148" s="266" t="s">
        <v>1453</v>
      </c>
      <c r="X148" s="499"/>
      <c r="Y148" s="499"/>
      <c r="Z148" s="485"/>
      <c r="AA148" s="499"/>
      <c r="AB148" s="609" t="s">
        <v>2548</v>
      </c>
    </row>
    <row r="149" spans="1:28" ht="73.5" customHeight="1">
      <c r="A149" s="484" t="s">
        <v>2564</v>
      </c>
      <c r="B149" s="484" t="s">
        <v>33</v>
      </c>
      <c r="C149" s="485" t="s">
        <v>916</v>
      </c>
      <c r="D149" s="288" t="s">
        <v>1528</v>
      </c>
      <c r="E149" s="289" t="s">
        <v>1186</v>
      </c>
      <c r="F149" s="486" t="s">
        <v>2565</v>
      </c>
      <c r="G149" s="485" t="s">
        <v>1180</v>
      </c>
      <c r="H149" s="485" t="s">
        <v>1447</v>
      </c>
      <c r="I149" s="372" t="s">
        <v>190</v>
      </c>
      <c r="J149" s="485"/>
      <c r="K149" s="372" t="s">
        <v>1524</v>
      </c>
      <c r="L149" s="372">
        <v>5000</v>
      </c>
      <c r="M149" s="1254" t="s">
        <v>2566</v>
      </c>
      <c r="N149" s="283">
        <f>O149/0.6</f>
        <v>851851.8518518518</v>
      </c>
      <c r="O149" s="283">
        <f>P149/(0.001*365*0.9)</f>
        <v>511111.11111111107</v>
      </c>
      <c r="P149" s="281">
        <f>460*365</f>
        <v>167900</v>
      </c>
      <c r="Q149" s="374" t="s">
        <v>85</v>
      </c>
      <c r="R149" s="901"/>
      <c r="S149" s="260">
        <f t="shared" si="17"/>
        <v>1496514.9651496515</v>
      </c>
      <c r="T149" s="286"/>
      <c r="U149" s="286"/>
      <c r="V149" s="510"/>
      <c r="W149" s="324"/>
      <c r="X149" s="499"/>
      <c r="Y149" s="499"/>
      <c r="Z149" s="499"/>
      <c r="AA149" s="499"/>
      <c r="AB149" s="1286" t="s">
        <v>2344</v>
      </c>
    </row>
    <row r="150" spans="1:28" ht="73.5" customHeight="1">
      <c r="A150" s="264" t="s">
        <v>1525</v>
      </c>
      <c r="B150" s="484" t="s">
        <v>33</v>
      </c>
      <c r="C150" s="485" t="s">
        <v>916</v>
      </c>
      <c r="D150" s="288" t="s">
        <v>1526</v>
      </c>
      <c r="E150" s="289" t="s">
        <v>1186</v>
      </c>
      <c r="F150" s="277" t="s">
        <v>2568</v>
      </c>
      <c r="G150" s="485" t="s">
        <v>202</v>
      </c>
      <c r="H150" s="485" t="s">
        <v>1447</v>
      </c>
      <c r="I150" s="372" t="s">
        <v>190</v>
      </c>
      <c r="J150" s="485"/>
      <c r="K150" s="372" t="s">
        <v>2977</v>
      </c>
      <c r="L150" s="372">
        <v>6500</v>
      </c>
      <c r="M150" s="1254" t="s">
        <v>2569</v>
      </c>
      <c r="N150" s="278">
        <f>O150/0.6</f>
        <v>1116666.6666666667</v>
      </c>
      <c r="O150" s="278">
        <f>P150/(0.001*365*0.9)</f>
        <v>670000</v>
      </c>
      <c r="P150" s="275">
        <f>603*365</f>
        <v>220095</v>
      </c>
      <c r="Q150" s="374" t="s">
        <v>85</v>
      </c>
      <c r="R150" s="662"/>
      <c r="S150" s="260">
        <f t="shared" si="17"/>
        <v>1961735.9217070432</v>
      </c>
      <c r="T150" s="286"/>
      <c r="U150" s="286"/>
      <c r="V150" s="510"/>
      <c r="W150" s="499"/>
      <c r="X150" s="499"/>
      <c r="Y150" s="499"/>
      <c r="Z150" s="499"/>
      <c r="AA150" s="499"/>
      <c r="AB150" s="1286" t="s">
        <v>2976</v>
      </c>
    </row>
    <row r="151" spans="1:28" ht="54" customHeight="1">
      <c r="A151" s="360" t="s">
        <v>1191</v>
      </c>
      <c r="B151" s="241" t="s">
        <v>33</v>
      </c>
      <c r="C151" s="249" t="s">
        <v>1026</v>
      </c>
      <c r="D151" s="475" t="s">
        <v>1192</v>
      </c>
      <c r="E151" s="480" t="s">
        <v>237</v>
      </c>
      <c r="F151" s="248"/>
      <c r="G151" s="239">
        <v>2019</v>
      </c>
      <c r="H151" s="239" t="s">
        <v>1193</v>
      </c>
      <c r="I151" s="239"/>
      <c r="J151" s="239"/>
      <c r="K151" s="413" t="s">
        <v>1194</v>
      </c>
      <c r="L151" s="250"/>
      <c r="M151" s="250"/>
      <c r="N151" s="273">
        <f>1400*60*24</f>
        <v>2016000</v>
      </c>
      <c r="O151" s="278">
        <f>N151*0.6</f>
        <v>1209600</v>
      </c>
      <c r="P151" s="273">
        <f>1173*365</f>
        <v>428145</v>
      </c>
      <c r="Q151" s="360" t="s">
        <v>85</v>
      </c>
      <c r="R151" s="538" t="s">
        <v>157</v>
      </c>
      <c r="S151" s="260">
        <f>P151/0.112194</f>
        <v>3816113.1611316111</v>
      </c>
      <c r="T151" s="278">
        <f>P151/0.112194</f>
        <v>3816113.1611316111</v>
      </c>
      <c r="U151" s="248"/>
      <c r="V151" s="482"/>
      <c r="W151" s="411"/>
      <c r="X151" s="411"/>
      <c r="Y151" s="249"/>
      <c r="Z151" s="1220"/>
      <c r="AA151" s="239"/>
      <c r="AB151" s="239" t="s">
        <v>1190</v>
      </c>
    </row>
    <row r="152" spans="1:28" ht="55.5" customHeight="1">
      <c r="A152" s="360" t="s">
        <v>1196</v>
      </c>
      <c r="B152" s="241" t="s">
        <v>33</v>
      </c>
      <c r="C152" s="249" t="s">
        <v>1110</v>
      </c>
      <c r="D152" s="475" t="s">
        <v>1197</v>
      </c>
      <c r="E152" s="491" t="s">
        <v>237</v>
      </c>
      <c r="F152" s="248" t="s">
        <v>1198</v>
      </c>
      <c r="G152" s="249" t="s">
        <v>1199</v>
      </c>
      <c r="H152" s="272" t="s">
        <v>1200</v>
      </c>
      <c r="I152" s="272" t="s">
        <v>924</v>
      </c>
      <c r="J152" s="272" t="s">
        <v>1201</v>
      </c>
      <c r="K152" s="272" t="s">
        <v>1202</v>
      </c>
      <c r="L152" s="318">
        <v>27000</v>
      </c>
      <c r="M152" s="249"/>
      <c r="N152" s="278">
        <f>O152/6*10</f>
        <v>253678.33587011669</v>
      </c>
      <c r="O152" s="278">
        <f>P152/(0.001*365*0.9)</f>
        <v>152207.00152207</v>
      </c>
      <c r="P152" s="273">
        <v>50000</v>
      </c>
      <c r="Q152" s="331" t="s">
        <v>85</v>
      </c>
      <c r="R152" s="518" t="s">
        <v>0</v>
      </c>
      <c r="S152" s="260">
        <f>P152/0.112194</f>
        <v>445656.63047934824</v>
      </c>
      <c r="T152" s="249"/>
      <c r="U152" s="927"/>
      <c r="V152" s="318">
        <v>10362</v>
      </c>
      <c r="W152" s="249"/>
      <c r="X152" s="249"/>
      <c r="Y152" s="249"/>
      <c r="Z152" s="1220"/>
      <c r="AA152" s="243" t="s">
        <v>30</v>
      </c>
      <c r="AB152" s="1284" t="s">
        <v>1195</v>
      </c>
    </row>
    <row r="153" spans="1:28" ht="73.5" customHeight="1">
      <c r="A153" s="484" t="s">
        <v>2352</v>
      </c>
      <c r="B153" s="484" t="s">
        <v>33</v>
      </c>
      <c r="C153" s="485" t="s">
        <v>916</v>
      </c>
      <c r="D153" s="288" t="s">
        <v>2354</v>
      </c>
      <c r="E153" s="289" t="s">
        <v>237</v>
      </c>
      <c r="F153" s="555" t="s">
        <v>2355</v>
      </c>
      <c r="G153" s="372" t="s">
        <v>2926</v>
      </c>
      <c r="H153" s="372" t="s">
        <v>2353</v>
      </c>
      <c r="I153" s="372" t="s">
        <v>2373</v>
      </c>
      <c r="J153" s="372" t="s">
        <v>924</v>
      </c>
      <c r="K153" s="372" t="s">
        <v>2374</v>
      </c>
      <c r="L153" s="372">
        <v>7500</v>
      </c>
      <c r="M153" s="372" t="s">
        <v>2375</v>
      </c>
      <c r="N153" s="417">
        <f>O153/0.6</f>
        <v>626146.11872146127</v>
      </c>
      <c r="O153" s="278">
        <f>P153/(0.001*365*0.9)</f>
        <v>375687.67123287672</v>
      </c>
      <c r="P153" s="417">
        <f>S153*0.112194</f>
        <v>123413.40000000001</v>
      </c>
      <c r="Q153" s="557" t="s">
        <v>85</v>
      </c>
      <c r="R153" s="662"/>
      <c r="S153" s="279">
        <v>1100000</v>
      </c>
      <c r="T153" s="286"/>
      <c r="U153" s="286"/>
      <c r="V153" s="553">
        <v>45000</v>
      </c>
      <c r="W153" s="266" t="s">
        <v>1024</v>
      </c>
      <c r="X153" s="499"/>
      <c r="Y153" s="266" t="s">
        <v>2356</v>
      </c>
      <c r="Z153" s="266"/>
      <c r="AA153" s="243" t="s">
        <v>30</v>
      </c>
      <c r="AB153" s="1286" t="s">
        <v>3042</v>
      </c>
    </row>
    <row r="154" spans="1:28" ht="55.5" customHeight="1">
      <c r="A154" s="484" t="s">
        <v>1204</v>
      </c>
      <c r="B154" s="287" t="s">
        <v>33</v>
      </c>
      <c r="C154" s="485" t="s">
        <v>1110</v>
      </c>
      <c r="D154" s="288" t="s">
        <v>2280</v>
      </c>
      <c r="E154" s="289" t="s">
        <v>135</v>
      </c>
      <c r="F154" s="486"/>
      <c r="G154" s="519" t="s">
        <v>2349</v>
      </c>
      <c r="H154" s="286" t="s">
        <v>1205</v>
      </c>
      <c r="I154" s="272" t="s">
        <v>952</v>
      </c>
      <c r="J154" s="286"/>
      <c r="K154" s="272" t="s">
        <v>2350</v>
      </c>
      <c r="L154" s="318" t="s">
        <v>1206</v>
      </c>
      <c r="M154" s="485"/>
      <c r="N154" s="278">
        <f>O154/6*10</f>
        <v>1197361.7453069508</v>
      </c>
      <c r="O154" s="278">
        <f>P154/(0.001*365*0.9)</f>
        <v>718417.04718417046</v>
      </c>
      <c r="P154" s="273">
        <v>236000</v>
      </c>
      <c r="Q154" s="331" t="s">
        <v>53</v>
      </c>
      <c r="R154" s="657"/>
      <c r="S154" s="260">
        <f t="shared" ref="S154:S161" si="18">P154/0.112194</f>
        <v>2103499.2958625238</v>
      </c>
      <c r="T154" s="485"/>
      <c r="U154" s="678"/>
      <c r="V154" s="318">
        <v>107000</v>
      </c>
      <c r="W154" s="485"/>
      <c r="X154" s="485"/>
      <c r="Y154" s="485"/>
      <c r="Z154" s="485"/>
      <c r="AA154" s="286"/>
      <c r="AB154" s="1286" t="s">
        <v>1203</v>
      </c>
    </row>
    <row r="155" spans="1:28" ht="52.5" customHeight="1">
      <c r="A155" s="241" t="s">
        <v>1208</v>
      </c>
      <c r="B155" s="241" t="s">
        <v>33</v>
      </c>
      <c r="C155" s="239" t="s">
        <v>916</v>
      </c>
      <c r="D155" s="475" t="s">
        <v>1209</v>
      </c>
      <c r="E155" s="480" t="s">
        <v>1210</v>
      </c>
      <c r="F155" s="248">
        <v>2019</v>
      </c>
      <c r="G155" s="300" t="s">
        <v>781</v>
      </c>
      <c r="H155" s="239" t="s">
        <v>1211</v>
      </c>
      <c r="I155" s="300" t="s">
        <v>1212</v>
      </c>
      <c r="J155" s="239" t="s">
        <v>1201</v>
      </c>
      <c r="K155" s="239" t="s">
        <v>1213</v>
      </c>
      <c r="L155" s="300">
        <v>900</v>
      </c>
      <c r="M155" s="300" t="s">
        <v>1214</v>
      </c>
      <c r="N155" s="347">
        <v>569000</v>
      </c>
      <c r="O155" s="1255">
        <v>402544</v>
      </c>
      <c r="P155" s="278">
        <f>O155*0.001*365*0.9</f>
        <v>132235.704</v>
      </c>
      <c r="Q155" s="360" t="s">
        <v>85</v>
      </c>
      <c r="R155" s="538" t="s">
        <v>0</v>
      </c>
      <c r="S155" s="260">
        <f t="shared" si="18"/>
        <v>1178634.3654740895</v>
      </c>
      <c r="T155" s="248"/>
      <c r="U155" s="520" t="s">
        <v>1215</v>
      </c>
      <c r="V155" s="239" t="s">
        <v>1216</v>
      </c>
      <c r="W155" s="249"/>
      <c r="X155" s="285" t="s">
        <v>1217</v>
      </c>
      <c r="Y155" s="285" t="s">
        <v>1218</v>
      </c>
      <c r="Z155" s="285"/>
      <c r="AA155" s="239" t="s">
        <v>30</v>
      </c>
      <c r="AB155" s="609" t="s">
        <v>1207</v>
      </c>
    </row>
    <row r="156" spans="1:28" ht="43.5" customHeight="1">
      <c r="A156" s="241" t="s">
        <v>1220</v>
      </c>
      <c r="B156" s="287" t="s">
        <v>33</v>
      </c>
      <c r="C156" s="239" t="s">
        <v>916</v>
      </c>
      <c r="D156" s="475" t="s">
        <v>1221</v>
      </c>
      <c r="E156" s="480" t="s">
        <v>148</v>
      </c>
      <c r="F156" s="248" t="s">
        <v>1153</v>
      </c>
      <c r="G156" s="521" t="s">
        <v>1222</v>
      </c>
      <c r="H156" s="300" t="s">
        <v>1223</v>
      </c>
      <c r="I156" s="300" t="s">
        <v>1224</v>
      </c>
      <c r="J156" s="300" t="s">
        <v>1225</v>
      </c>
      <c r="K156" s="286" t="s">
        <v>1226</v>
      </c>
      <c r="L156" s="318">
        <v>7000</v>
      </c>
      <c r="M156" s="318">
        <f>(150000*8*365)/2000</f>
        <v>219000</v>
      </c>
      <c r="N156" s="278">
        <f>O156/6*10</f>
        <v>811770.67478437338</v>
      </c>
      <c r="O156" s="278">
        <f>P156/(0.001*365*0.9)</f>
        <v>487062.40487062401</v>
      </c>
      <c r="P156" s="273">
        <v>160000</v>
      </c>
      <c r="Q156" s="360" t="s">
        <v>85</v>
      </c>
      <c r="R156" s="538" t="s">
        <v>157</v>
      </c>
      <c r="S156" s="260">
        <f t="shared" si="18"/>
        <v>1426101.2175339144</v>
      </c>
      <c r="T156" s="482">
        <v>1447000</v>
      </c>
      <c r="U156" s="248"/>
      <c r="V156" s="482">
        <v>54725</v>
      </c>
      <c r="W156" s="249"/>
      <c r="X156" s="285" t="s">
        <v>1227</v>
      </c>
      <c r="Y156" s="285" t="s">
        <v>1228</v>
      </c>
      <c r="Z156" s="285"/>
      <c r="AA156" s="239" t="s">
        <v>30</v>
      </c>
      <c r="AB156" s="239" t="s">
        <v>1219</v>
      </c>
    </row>
    <row r="157" spans="1:28" ht="43.5" customHeight="1">
      <c r="A157" s="287" t="s">
        <v>2583</v>
      </c>
      <c r="B157" s="287" t="s">
        <v>33</v>
      </c>
      <c r="C157" s="286" t="s">
        <v>916</v>
      </c>
      <c r="D157" s="288" t="s">
        <v>1535</v>
      </c>
      <c r="E157" s="498" t="s">
        <v>155</v>
      </c>
      <c r="F157" s="486"/>
      <c r="G157" s="676"/>
      <c r="H157" s="239" t="s">
        <v>3080</v>
      </c>
      <c r="I157" s="286"/>
      <c r="J157" s="286"/>
      <c r="K157" s="714" t="s">
        <v>3081</v>
      </c>
      <c r="L157" s="728">
        <v>5270</v>
      </c>
      <c r="M157" s="510"/>
      <c r="N157" s="260">
        <f>O157/0.6</f>
        <v>6759254.1856925413</v>
      </c>
      <c r="O157" s="337">
        <f>P157/(0.001*365*0.9)</f>
        <v>4055552.5114155249</v>
      </c>
      <c r="P157" s="354">
        <v>1332249</v>
      </c>
      <c r="Q157" s="1038" t="s">
        <v>85</v>
      </c>
      <c r="R157" s="436" t="s">
        <v>0</v>
      </c>
      <c r="S157" s="337">
        <f>P157/0.112194</f>
        <v>11874512.005989624</v>
      </c>
      <c r="T157" s="500"/>
      <c r="U157" s="486"/>
      <c r="V157" s="500"/>
      <c r="W157" s="485"/>
      <c r="X157" s="710" t="s">
        <v>3082</v>
      </c>
      <c r="Y157" s="485"/>
      <c r="Z157" s="485"/>
      <c r="AA157" s="485"/>
      <c r="AB157" s="665" t="s">
        <v>3079</v>
      </c>
    </row>
    <row r="158" spans="1:28" ht="69" customHeight="1">
      <c r="A158" s="241" t="s">
        <v>1533</v>
      </c>
      <c r="B158" s="360" t="s">
        <v>33</v>
      </c>
      <c r="C158" s="249" t="s">
        <v>1534</v>
      </c>
      <c r="D158" s="476" t="s">
        <v>1535</v>
      </c>
      <c r="E158" s="559" t="s">
        <v>155</v>
      </c>
      <c r="F158" s="436" t="s">
        <v>1536</v>
      </c>
      <c r="G158" s="786">
        <v>44986</v>
      </c>
      <c r="H158" s="485" t="s">
        <v>1537</v>
      </c>
      <c r="I158" s="485" t="s">
        <v>116</v>
      </c>
      <c r="J158" s="286"/>
      <c r="K158" s="286" t="s">
        <v>2575</v>
      </c>
      <c r="L158" s="318" t="s">
        <v>1538</v>
      </c>
      <c r="M158" s="363"/>
      <c r="N158" s="436"/>
      <c r="O158" s="278">
        <f>P158/(0.001*365*0.9)</f>
        <v>1811111.111111111</v>
      </c>
      <c r="P158" s="273">
        <f>1630*365</f>
        <v>594950</v>
      </c>
      <c r="Q158" s="241" t="s">
        <v>85</v>
      </c>
      <c r="R158" s="249" t="s">
        <v>0</v>
      </c>
      <c r="S158" s="260">
        <f t="shared" si="18"/>
        <v>5302868.2460737647</v>
      </c>
      <c r="T158" s="239"/>
      <c r="U158" s="239"/>
      <c r="V158" s="250"/>
      <c r="W158" s="266" t="s">
        <v>1539</v>
      </c>
      <c r="X158" s="239" t="s">
        <v>0</v>
      </c>
      <c r="Y158" s="239"/>
      <c r="Z158" s="266"/>
      <c r="AA158" s="239"/>
      <c r="AB158" s="609" t="s">
        <v>2865</v>
      </c>
    </row>
    <row r="159" spans="1:28" ht="63" customHeight="1">
      <c r="A159" s="360" t="s">
        <v>1230</v>
      </c>
      <c r="B159" s="635" t="s">
        <v>33</v>
      </c>
      <c r="C159" s="360" t="s">
        <v>916</v>
      </c>
      <c r="D159" s="475" t="s">
        <v>1231</v>
      </c>
      <c r="E159" s="491" t="s">
        <v>155</v>
      </c>
      <c r="F159" s="248">
        <v>2019</v>
      </c>
      <c r="G159" s="1229">
        <v>43983</v>
      </c>
      <c r="H159" s="249" t="s">
        <v>1232</v>
      </c>
      <c r="I159" s="249" t="s">
        <v>243</v>
      </c>
      <c r="J159" s="239" t="s">
        <v>243</v>
      </c>
      <c r="K159" s="239" t="s">
        <v>1233</v>
      </c>
      <c r="L159" s="273">
        <v>2800</v>
      </c>
      <c r="M159" s="522" t="s">
        <v>1234</v>
      </c>
      <c r="N159" s="278">
        <f>(O159/6)*10</f>
        <v>253678.33587011669</v>
      </c>
      <c r="O159" s="278">
        <f>P159/(0.001*365*0.9)</f>
        <v>152207.00152207</v>
      </c>
      <c r="P159" s="273">
        <v>50000</v>
      </c>
      <c r="Q159" s="241" t="s">
        <v>85</v>
      </c>
      <c r="R159" s="489"/>
      <c r="S159" s="522">
        <f t="shared" si="18"/>
        <v>445656.63047934824</v>
      </c>
      <c r="T159" s="249"/>
      <c r="U159" s="927"/>
      <c r="V159" s="239"/>
      <c r="W159" s="249" t="s">
        <v>1235</v>
      </c>
      <c r="X159" s="239" t="s">
        <v>1236</v>
      </c>
      <c r="Y159" s="360"/>
      <c r="Z159" s="249"/>
      <c r="AA159" s="360"/>
      <c r="AB159" s="1284" t="s">
        <v>1229</v>
      </c>
    </row>
    <row r="160" spans="1:28" ht="60" customHeight="1">
      <c r="A160" s="484" t="s">
        <v>1238</v>
      </c>
      <c r="B160" s="287" t="s">
        <v>33</v>
      </c>
      <c r="C160" s="485" t="s">
        <v>916</v>
      </c>
      <c r="D160" s="288" t="s">
        <v>1239</v>
      </c>
      <c r="E160" s="289" t="s">
        <v>155</v>
      </c>
      <c r="F160" s="248">
        <v>2018</v>
      </c>
      <c r="G160" s="523" t="s">
        <v>1240</v>
      </c>
      <c r="H160" s="286" t="s">
        <v>1241</v>
      </c>
      <c r="I160" s="243" t="s">
        <v>1224</v>
      </c>
      <c r="J160" s="286" t="s">
        <v>1242</v>
      </c>
      <c r="K160" s="485" t="s">
        <v>1243</v>
      </c>
      <c r="L160" s="387">
        <v>16000</v>
      </c>
      <c r="M160" s="499"/>
      <c r="N160" s="273">
        <v>2690000</v>
      </c>
      <c r="O160" s="278">
        <f>N160*0.6</f>
        <v>1614000</v>
      </c>
      <c r="P160" s="278">
        <f>O160*(0.001*365*0.9)</f>
        <v>530199</v>
      </c>
      <c r="Q160" s="484" t="s">
        <v>85</v>
      </c>
      <c r="R160" s="285" t="s">
        <v>0</v>
      </c>
      <c r="S160" s="260">
        <f t="shared" si="18"/>
        <v>4725733.9964703992</v>
      </c>
      <c r="T160" s="260">
        <f>P160/0.112194</f>
        <v>4725733.9964703992</v>
      </c>
      <c r="U160" s="1395"/>
      <c r="V160" s="1047"/>
      <c r="W160" s="485" t="s">
        <v>1173</v>
      </c>
      <c r="X160" s="499"/>
      <c r="Y160" s="487"/>
      <c r="Z160" s="485"/>
      <c r="AA160" s="405" t="s">
        <v>30</v>
      </c>
      <c r="AB160" s="1285" t="s">
        <v>1237</v>
      </c>
    </row>
    <row r="161" spans="1:28" ht="60" customHeight="1">
      <c r="A161" s="484" t="s">
        <v>2446</v>
      </c>
      <c r="B161" s="287" t="s">
        <v>33</v>
      </c>
      <c r="C161" s="485" t="s">
        <v>916</v>
      </c>
      <c r="D161" s="288" t="s">
        <v>247</v>
      </c>
      <c r="E161" s="289" t="s">
        <v>155</v>
      </c>
      <c r="F161" s="486" t="s">
        <v>2440</v>
      </c>
      <c r="G161" s="523" t="s">
        <v>1302</v>
      </c>
      <c r="H161" s="266" t="s">
        <v>2441</v>
      </c>
      <c r="I161" s="634" t="s">
        <v>190</v>
      </c>
      <c r="J161" s="266" t="s">
        <v>2442</v>
      </c>
      <c r="K161" s="372" t="s">
        <v>2447</v>
      </c>
      <c r="L161" s="924" t="s">
        <v>2444</v>
      </c>
      <c r="M161" s="499"/>
      <c r="N161" s="273">
        <f>350*60*24</f>
        <v>504000</v>
      </c>
      <c r="O161" s="278">
        <f>N161*0.6</f>
        <v>302400</v>
      </c>
      <c r="P161" s="278">
        <f>O161*(0.001*365*0.9)</f>
        <v>99338.400000000009</v>
      </c>
      <c r="Q161" s="274" t="s">
        <v>85</v>
      </c>
      <c r="R161" s="662" t="s">
        <v>0</v>
      </c>
      <c r="S161" s="260">
        <f t="shared" si="18"/>
        <v>885416.33242419385</v>
      </c>
      <c r="T161" s="260"/>
      <c r="U161" s="924" t="s">
        <v>2443</v>
      </c>
      <c r="V161" s="318">
        <v>13500</v>
      </c>
      <c r="W161" s="372" t="s">
        <v>1173</v>
      </c>
      <c r="X161" s="499"/>
      <c r="Y161" s="487"/>
      <c r="Z161" s="372"/>
      <c r="AA161" s="405" t="s">
        <v>30</v>
      </c>
      <c r="AB161" s="609" t="s">
        <v>2445</v>
      </c>
    </row>
    <row r="162" spans="1:28" ht="40.700000000000003" customHeight="1">
      <c r="A162" s="241" t="s">
        <v>1245</v>
      </c>
      <c r="B162" s="241" t="s">
        <v>33</v>
      </c>
      <c r="C162" s="239" t="s">
        <v>916</v>
      </c>
      <c r="D162" s="475" t="s">
        <v>247</v>
      </c>
      <c r="E162" s="480" t="s">
        <v>155</v>
      </c>
      <c r="F162" s="248" t="s">
        <v>1246</v>
      </c>
      <c r="G162" s="448" t="s">
        <v>1247</v>
      </c>
      <c r="H162" s="239" t="s">
        <v>1248</v>
      </c>
      <c r="I162" s="387" t="s">
        <v>1012</v>
      </c>
      <c r="J162" s="239"/>
      <c r="K162" s="239" t="s">
        <v>1249</v>
      </c>
      <c r="L162" s="387">
        <v>2100</v>
      </c>
      <c r="M162" s="522">
        <v>38325</v>
      </c>
      <c r="N162" s="273">
        <v>700000</v>
      </c>
      <c r="O162" s="887">
        <v>420000</v>
      </c>
      <c r="P162" s="887">
        <v>137970</v>
      </c>
      <c r="Q162" s="360" t="s">
        <v>85</v>
      </c>
      <c r="R162" s="538" t="s">
        <v>0</v>
      </c>
      <c r="S162" s="260">
        <v>1229745</v>
      </c>
      <c r="T162" s="482"/>
      <c r="U162" s="248"/>
      <c r="V162" s="387">
        <v>8150</v>
      </c>
      <c r="W162" s="239" t="s">
        <v>1173</v>
      </c>
      <c r="X162" s="249"/>
      <c r="Y162" s="249"/>
      <c r="Z162" s="249"/>
      <c r="AA162" s="405" t="s">
        <v>30</v>
      </c>
      <c r="AB162" s="239" t="s">
        <v>1244</v>
      </c>
    </row>
    <row r="163" spans="1:28" ht="42" customHeight="1">
      <c r="A163" s="241" t="s">
        <v>1251</v>
      </c>
      <c r="B163" s="241" t="s">
        <v>33</v>
      </c>
      <c r="C163" s="239" t="s">
        <v>1026</v>
      </c>
      <c r="D163" s="249" t="s">
        <v>1252</v>
      </c>
      <c r="E163" s="1276" t="s">
        <v>155</v>
      </c>
      <c r="F163" s="248"/>
      <c r="G163" s="239" t="s">
        <v>634</v>
      </c>
      <c r="H163" s="239" t="s">
        <v>1253</v>
      </c>
      <c r="I163" s="309" t="s">
        <v>1079</v>
      </c>
      <c r="J163" s="239"/>
      <c r="K163" s="239" t="s">
        <v>1254</v>
      </c>
      <c r="L163" s="387">
        <v>4000</v>
      </c>
      <c r="M163" s="260">
        <f>(L163*100*365)/2000</f>
        <v>73000</v>
      </c>
      <c r="N163" s="278">
        <f>(O163/6)*10</f>
        <v>555555.5555555555</v>
      </c>
      <c r="O163" s="278">
        <f>P163/(0.001*365*0.9)</f>
        <v>333333.33333333331</v>
      </c>
      <c r="P163" s="347">
        <f>300*365</f>
        <v>109500</v>
      </c>
      <c r="Q163" s="241" t="s">
        <v>85</v>
      </c>
      <c r="R163" s="249" t="s">
        <v>157</v>
      </c>
      <c r="S163" s="260">
        <f>P163/0.112194</f>
        <v>975988.02074977267</v>
      </c>
      <c r="T163" s="239"/>
      <c r="U163" s="387" t="s">
        <v>1255</v>
      </c>
      <c r="V163" s="387">
        <v>13958</v>
      </c>
      <c r="W163" s="239"/>
      <c r="X163" s="239"/>
      <c r="Y163" s="239"/>
      <c r="Z163" s="239"/>
      <c r="AA163" s="239"/>
      <c r="AB163" s="507" t="s">
        <v>1250</v>
      </c>
    </row>
    <row r="164" spans="1:28" ht="51" customHeight="1">
      <c r="A164" s="241" t="s">
        <v>1257</v>
      </c>
      <c r="B164" s="241" t="s">
        <v>33</v>
      </c>
      <c r="C164" s="239" t="s">
        <v>916</v>
      </c>
      <c r="D164" s="475" t="s">
        <v>1258</v>
      </c>
      <c r="E164" s="480" t="s">
        <v>155</v>
      </c>
      <c r="F164" s="248"/>
      <c r="G164" s="448" t="s">
        <v>1259</v>
      </c>
      <c r="H164" s="239" t="s">
        <v>1260</v>
      </c>
      <c r="I164" s="387" t="s">
        <v>116</v>
      </c>
      <c r="J164" s="239"/>
      <c r="K164" s="239" t="s">
        <v>1261</v>
      </c>
      <c r="L164" s="250">
        <v>8000</v>
      </c>
      <c r="M164" s="278">
        <f>(L164*100*365)/2000</f>
        <v>146000</v>
      </c>
      <c r="N164" s="273">
        <v>1200000</v>
      </c>
      <c r="O164" s="887">
        <v>720000</v>
      </c>
      <c r="P164" s="887">
        <v>236520</v>
      </c>
      <c r="Q164" s="360" t="s">
        <v>85</v>
      </c>
      <c r="R164" s="538" t="s">
        <v>0</v>
      </c>
      <c r="S164" s="260">
        <v>2108134</v>
      </c>
      <c r="T164" s="482"/>
      <c r="U164" s="248"/>
      <c r="V164" s="387">
        <v>27947</v>
      </c>
      <c r="W164" s="239" t="s">
        <v>1173</v>
      </c>
      <c r="X164" s="249"/>
      <c r="Y164" s="249"/>
      <c r="Z164" s="249"/>
      <c r="AA164" s="405" t="s">
        <v>30</v>
      </c>
      <c r="AB164" s="609" t="s">
        <v>1256</v>
      </c>
    </row>
    <row r="165" spans="1:28" ht="47.25" customHeight="1">
      <c r="A165" s="241" t="s">
        <v>1263</v>
      </c>
      <c r="B165" s="241" t="s">
        <v>33</v>
      </c>
      <c r="C165" s="239" t="s">
        <v>1026</v>
      </c>
      <c r="D165" s="475" t="s">
        <v>1264</v>
      </c>
      <c r="E165" s="480" t="s">
        <v>155</v>
      </c>
      <c r="F165" s="248"/>
      <c r="G165" s="448" t="s">
        <v>1265</v>
      </c>
      <c r="H165" s="239" t="s">
        <v>1266</v>
      </c>
      <c r="I165" s="239"/>
      <c r="J165" s="239"/>
      <c r="K165" s="239" t="s">
        <v>1267</v>
      </c>
      <c r="L165" s="387">
        <v>9100</v>
      </c>
      <c r="M165" s="278">
        <f>(L165*100*365)/2000</f>
        <v>166075</v>
      </c>
      <c r="N165" s="273">
        <v>1200000</v>
      </c>
      <c r="O165" s="887">
        <v>720000</v>
      </c>
      <c r="P165" s="887">
        <v>236520</v>
      </c>
      <c r="Q165" s="360" t="s">
        <v>85</v>
      </c>
      <c r="R165" s="538" t="s">
        <v>0</v>
      </c>
      <c r="S165" s="260">
        <v>2108134</v>
      </c>
      <c r="T165" s="482"/>
      <c r="U165" s="248"/>
      <c r="V165" s="387">
        <v>31790</v>
      </c>
      <c r="W165" s="239" t="s">
        <v>938</v>
      </c>
      <c r="X165" s="249"/>
      <c r="Y165" s="249"/>
      <c r="Z165" s="249"/>
      <c r="AA165" s="405" t="s">
        <v>30</v>
      </c>
      <c r="AB165" s="239" t="s">
        <v>1262</v>
      </c>
    </row>
    <row r="166" spans="1:28" ht="43.35" customHeight="1">
      <c r="A166" s="241" t="s">
        <v>1269</v>
      </c>
      <c r="B166" s="287" t="s">
        <v>33</v>
      </c>
      <c r="C166" s="239" t="s">
        <v>916</v>
      </c>
      <c r="D166" s="475" t="s">
        <v>1270</v>
      </c>
      <c r="E166" s="480" t="s">
        <v>155</v>
      </c>
      <c r="F166" s="248" t="s">
        <v>1180</v>
      </c>
      <c r="G166" s="521" t="s">
        <v>1271</v>
      </c>
      <c r="H166" s="239" t="s">
        <v>1272</v>
      </c>
      <c r="I166" s="239" t="s">
        <v>1273</v>
      </c>
      <c r="J166" s="239" t="s">
        <v>1242</v>
      </c>
      <c r="K166" s="250" t="s">
        <v>1274</v>
      </c>
      <c r="L166" s="387">
        <v>8500</v>
      </c>
      <c r="M166" s="250">
        <v>128000</v>
      </c>
      <c r="N166" s="502">
        <v>1200000</v>
      </c>
      <c r="O166" s="278">
        <f>N166*0.6</f>
        <v>720000</v>
      </c>
      <c r="P166" s="278">
        <f>O166*(0.001*365*0.9)</f>
        <v>236520</v>
      </c>
      <c r="Q166" s="360" t="s">
        <v>85</v>
      </c>
      <c r="R166" s="538" t="s">
        <v>0</v>
      </c>
      <c r="S166" s="260">
        <f>P166/0.112194</f>
        <v>2108134.1248195092</v>
      </c>
      <c r="T166" s="260">
        <f>P166/0.112194</f>
        <v>2108134.1248195092</v>
      </c>
      <c r="U166" s="248"/>
      <c r="V166" s="502">
        <v>69151</v>
      </c>
      <c r="W166" s="249" t="s">
        <v>938</v>
      </c>
      <c r="X166" s="249"/>
      <c r="Y166" s="249"/>
      <c r="Z166" s="249"/>
      <c r="AA166" s="405" t="s">
        <v>30</v>
      </c>
      <c r="AB166" s="239" t="s">
        <v>1268</v>
      </c>
    </row>
    <row r="167" spans="1:28" ht="43.35" customHeight="1">
      <c r="A167" s="287" t="s">
        <v>2624</v>
      </c>
      <c r="B167" s="287" t="s">
        <v>33</v>
      </c>
      <c r="C167" s="239"/>
      <c r="D167" s="475" t="s">
        <v>2625</v>
      </c>
      <c r="E167" s="491" t="s">
        <v>155</v>
      </c>
      <c r="F167" s="486"/>
      <c r="G167" s="746">
        <v>44958</v>
      </c>
      <c r="H167" s="745" t="s">
        <v>2453</v>
      </c>
      <c r="I167" s="239"/>
      <c r="J167" s="239"/>
      <c r="K167" s="272" t="s">
        <v>2714</v>
      </c>
      <c r="L167" s="1230">
        <v>10000</v>
      </c>
      <c r="M167" s="244"/>
      <c r="N167" s="1250"/>
      <c r="O167" s="1225">
        <v>900000</v>
      </c>
      <c r="P167" s="1231">
        <v>140000</v>
      </c>
      <c r="Q167" s="360" t="s">
        <v>85</v>
      </c>
      <c r="R167" s="518"/>
      <c r="S167" s="1399">
        <v>1247838</v>
      </c>
      <c r="T167" s="244"/>
      <c r="U167" s="488"/>
      <c r="V167" s="510"/>
      <c r="W167" s="244"/>
      <c r="X167" s="244"/>
      <c r="Y167" s="244"/>
      <c r="Z167" s="1400"/>
      <c r="AA167" s="249"/>
      <c r="AB167" s="239"/>
    </row>
    <row r="168" spans="1:28" ht="73.5" customHeight="1">
      <c r="A168" s="265" t="s">
        <v>2807</v>
      </c>
      <c r="B168" s="241" t="s">
        <v>33</v>
      </c>
      <c r="C168" s="485" t="s">
        <v>916</v>
      </c>
      <c r="D168" s="288" t="s">
        <v>2957</v>
      </c>
      <c r="E168" s="499" t="s">
        <v>155</v>
      </c>
      <c r="F168" s="785">
        <v>44743</v>
      </c>
      <c r="G168" s="784">
        <v>45200</v>
      </c>
      <c r="H168" s="743" t="s">
        <v>2863</v>
      </c>
      <c r="I168" s="485"/>
      <c r="J168" s="485"/>
      <c r="K168" s="743" t="s">
        <v>2979</v>
      </c>
      <c r="L168" s="485"/>
      <c r="M168" s="485"/>
      <c r="N168" s="661"/>
      <c r="O168" s="661"/>
      <c r="P168" s="748">
        <v>42073</v>
      </c>
      <c r="Q168" s="287" t="s">
        <v>85</v>
      </c>
      <c r="R168" s="662"/>
      <c r="S168" s="510"/>
      <c r="T168" s="728">
        <v>375000</v>
      </c>
      <c r="U168" s="286"/>
      <c r="V168" s="510"/>
      <c r="W168" s="499"/>
      <c r="X168" s="499"/>
      <c r="Y168" s="499"/>
      <c r="Z168" s="499"/>
      <c r="AA168" s="499"/>
      <c r="AB168" s="1142" t="s">
        <v>2978</v>
      </c>
    </row>
    <row r="169" spans="1:28" ht="64.5" customHeight="1">
      <c r="A169" s="241" t="s">
        <v>1276</v>
      </c>
      <c r="B169" s="241" t="s">
        <v>33</v>
      </c>
      <c r="C169" s="239" t="s">
        <v>916</v>
      </c>
      <c r="D169" s="475" t="s">
        <v>1277</v>
      </c>
      <c r="E169" s="480" t="s">
        <v>155</v>
      </c>
      <c r="F169" s="248">
        <v>2019</v>
      </c>
      <c r="G169" s="448" t="s">
        <v>423</v>
      </c>
      <c r="H169" s="239" t="s">
        <v>1278</v>
      </c>
      <c r="I169" s="239" t="s">
        <v>1279</v>
      </c>
      <c r="J169" s="239" t="s">
        <v>1280</v>
      </c>
      <c r="K169" s="239" t="s">
        <v>3153</v>
      </c>
      <c r="L169" s="387">
        <v>1750</v>
      </c>
      <c r="M169" s="260">
        <f>(1750*100*365)/2000</f>
        <v>31937.5</v>
      </c>
      <c r="N169" s="347">
        <f>225*60*24</f>
        <v>324000</v>
      </c>
      <c r="O169" s="278">
        <f>N169*0.6</f>
        <v>194400</v>
      </c>
      <c r="P169" s="278">
        <f>O169*0.001*365*0.9</f>
        <v>63860.4</v>
      </c>
      <c r="Q169" s="241" t="s">
        <v>85</v>
      </c>
      <c r="R169" s="249" t="s">
        <v>0</v>
      </c>
      <c r="S169" s="260">
        <f>P169/0.112194</f>
        <v>569196.21370126749</v>
      </c>
      <c r="T169" s="239"/>
      <c r="U169" s="239"/>
      <c r="V169" s="387">
        <v>13821</v>
      </c>
      <c r="W169" s="239"/>
      <c r="X169" s="239"/>
      <c r="Y169" s="239"/>
      <c r="Z169" s="239"/>
      <c r="AA169" s="239"/>
      <c r="AB169" s="249" t="s">
        <v>1275</v>
      </c>
    </row>
    <row r="170" spans="1:28" ht="33" customHeight="1">
      <c r="A170" s="360" t="s">
        <v>1282</v>
      </c>
      <c r="B170" s="241" t="s">
        <v>33</v>
      </c>
      <c r="C170" s="249" t="s">
        <v>1026</v>
      </c>
      <c r="D170" s="475" t="s">
        <v>1258</v>
      </c>
      <c r="E170" s="491" t="s">
        <v>155</v>
      </c>
      <c r="F170" s="350">
        <v>2020</v>
      </c>
      <c r="G170" s="1232" t="s">
        <v>1283</v>
      </c>
      <c r="H170" s="239" t="s">
        <v>1278</v>
      </c>
      <c r="I170" s="309" t="s">
        <v>1012</v>
      </c>
      <c r="J170" s="249"/>
      <c r="K170" s="272" t="s">
        <v>3154</v>
      </c>
      <c r="L170" s="387">
        <v>2100</v>
      </c>
      <c r="M170" s="278">
        <f>(2100*100*365)/2000</f>
        <v>38325</v>
      </c>
      <c r="N170" s="347">
        <f>275*60*24</f>
        <v>396000</v>
      </c>
      <c r="O170" s="278">
        <f>N170*0.6</f>
        <v>237600</v>
      </c>
      <c r="P170" s="278">
        <f>O170*0.001*365*0.9</f>
        <v>78051.600000000006</v>
      </c>
      <c r="Q170" s="378" t="s">
        <v>85</v>
      </c>
      <c r="R170" s="525" t="s">
        <v>0</v>
      </c>
      <c r="S170" s="260">
        <f>P170/0.112194</f>
        <v>695684.26119043806</v>
      </c>
      <c r="T170" s="360"/>
      <c r="U170" s="516"/>
      <c r="V170" s="387">
        <v>7962</v>
      </c>
      <c r="W170" s="360"/>
      <c r="X170" s="360"/>
      <c r="Y170" s="360"/>
      <c r="Z170" s="360"/>
      <c r="AA170" s="249"/>
      <c r="AB170" s="609" t="s">
        <v>1281</v>
      </c>
    </row>
    <row r="171" spans="1:28" ht="33" customHeight="1">
      <c r="A171" s="360" t="s">
        <v>1285</v>
      </c>
      <c r="B171" s="241" t="s">
        <v>33</v>
      </c>
      <c r="C171" s="249" t="s">
        <v>916</v>
      </c>
      <c r="D171" s="475" t="s">
        <v>1252</v>
      </c>
      <c r="E171" s="491" t="s">
        <v>155</v>
      </c>
      <c r="F171" s="248">
        <v>2019</v>
      </c>
      <c r="G171" s="1229" t="s">
        <v>634</v>
      </c>
      <c r="H171" s="239" t="s">
        <v>1278</v>
      </c>
      <c r="I171" s="309" t="s">
        <v>1012</v>
      </c>
      <c r="J171" s="249"/>
      <c r="K171" s="239" t="s">
        <v>3155</v>
      </c>
      <c r="L171" s="387">
        <v>2400</v>
      </c>
      <c r="M171" s="278">
        <f>(2400*100*365)/2000</f>
        <v>43800</v>
      </c>
      <c r="N171" s="347">
        <f>250*60*24</f>
        <v>360000</v>
      </c>
      <c r="O171" s="278">
        <f>N171*0.6</f>
        <v>216000</v>
      </c>
      <c r="P171" s="278">
        <f>O171*0.001*365*0.9</f>
        <v>70956</v>
      </c>
      <c r="Q171" s="360" t="s">
        <v>85</v>
      </c>
      <c r="R171" s="518" t="s">
        <v>0</v>
      </c>
      <c r="S171" s="260">
        <f>P171/0.112194</f>
        <v>632440.23744585272</v>
      </c>
      <c r="T171" s="360"/>
      <c r="U171" s="516"/>
      <c r="V171" s="387">
        <v>9074</v>
      </c>
      <c r="W171" s="360"/>
      <c r="X171" s="360"/>
      <c r="Y171" s="360"/>
      <c r="Z171" s="360"/>
      <c r="AA171" s="249" t="s">
        <v>30</v>
      </c>
      <c r="AB171" s="239" t="s">
        <v>1284</v>
      </c>
    </row>
    <row r="172" spans="1:28" ht="33" customHeight="1">
      <c r="A172" s="360" t="s">
        <v>1287</v>
      </c>
      <c r="B172" s="241" t="s">
        <v>33</v>
      </c>
      <c r="C172" s="249" t="s">
        <v>916</v>
      </c>
      <c r="D172" s="475" t="s">
        <v>1288</v>
      </c>
      <c r="E172" s="491" t="s">
        <v>155</v>
      </c>
      <c r="F172" s="248">
        <v>2019</v>
      </c>
      <c r="G172" s="1229" t="s">
        <v>634</v>
      </c>
      <c r="H172" s="239" t="s">
        <v>1278</v>
      </c>
      <c r="I172" s="309" t="s">
        <v>1012</v>
      </c>
      <c r="J172" s="249" t="s">
        <v>1289</v>
      </c>
      <c r="K172" s="239" t="s">
        <v>3155</v>
      </c>
      <c r="L172" s="387">
        <v>4500</v>
      </c>
      <c r="M172" s="278">
        <f>(4500*100*365)/2000</f>
        <v>82125</v>
      </c>
      <c r="N172" s="347">
        <f>250*60*24</f>
        <v>360000</v>
      </c>
      <c r="O172" s="278">
        <f>N172*0.6</f>
        <v>216000</v>
      </c>
      <c r="P172" s="278">
        <f>O172*0.001*365*0.9</f>
        <v>70956</v>
      </c>
      <c r="Q172" s="360" t="s">
        <v>85</v>
      </c>
      <c r="R172" s="518" t="s">
        <v>0</v>
      </c>
      <c r="S172" s="260">
        <f>P172/0.112194</f>
        <v>632440.23744585272</v>
      </c>
      <c r="T172" s="360"/>
      <c r="U172" s="516"/>
      <c r="V172" s="387">
        <v>12436</v>
      </c>
      <c r="W172" s="360"/>
      <c r="X172" s="360"/>
      <c r="Y172" s="360"/>
      <c r="Z172" s="360"/>
      <c r="AA172" s="249" t="s">
        <v>30</v>
      </c>
      <c r="AB172" s="239" t="s">
        <v>1286</v>
      </c>
    </row>
    <row r="173" spans="1:28" ht="17.100000000000001" customHeight="1">
      <c r="A173" s="1521" t="s">
        <v>2868</v>
      </c>
      <c r="B173" s="1522"/>
      <c r="C173" s="1522"/>
      <c r="D173" s="1522"/>
      <c r="E173" s="1522"/>
      <c r="F173" s="1522"/>
      <c r="G173" s="1522"/>
      <c r="H173" s="1522"/>
      <c r="I173" s="1522"/>
      <c r="J173" s="1522"/>
      <c r="K173" s="1522"/>
      <c r="L173" s="1522"/>
      <c r="M173" s="1522"/>
      <c r="N173" s="1522"/>
      <c r="O173" s="1522"/>
      <c r="P173" s="1522"/>
      <c r="Q173" s="1522"/>
      <c r="R173" s="1522"/>
      <c r="S173" s="1522"/>
      <c r="T173" s="1522"/>
      <c r="U173" s="1522"/>
      <c r="V173" s="1522"/>
      <c r="W173" s="1522"/>
      <c r="X173" s="1522"/>
      <c r="Y173" s="1522"/>
      <c r="Z173" s="1522"/>
      <c r="AA173" s="1522"/>
      <c r="AB173" s="1523"/>
    </row>
    <row r="174" spans="1:28" ht="37.35" customHeight="1">
      <c r="A174" s="287" t="s">
        <v>2351</v>
      </c>
      <c r="B174" s="287" t="s">
        <v>145</v>
      </c>
      <c r="C174" s="286" t="s">
        <v>916</v>
      </c>
      <c r="D174" s="288" t="s">
        <v>917</v>
      </c>
      <c r="E174" s="498" t="s">
        <v>918</v>
      </c>
      <c r="F174" s="272" t="s">
        <v>1299</v>
      </c>
      <c r="G174" s="286"/>
      <c r="H174" s="272" t="s">
        <v>1300</v>
      </c>
      <c r="I174" s="286"/>
      <c r="J174" s="286"/>
      <c r="K174" s="710" t="s">
        <v>2872</v>
      </c>
      <c r="L174" s="318">
        <v>8800</v>
      </c>
      <c r="M174" s="286"/>
      <c r="N174" s="278">
        <f>O174/0.6</f>
        <v>396296.29629629629</v>
      </c>
      <c r="O174" s="278">
        <f>P174/(0.001*365*0.9)</f>
        <v>237777.77777777778</v>
      </c>
      <c r="P174" s="273">
        <f>214*365</f>
        <v>78110</v>
      </c>
      <c r="Q174" s="331" t="s">
        <v>85</v>
      </c>
      <c r="R174" s="662"/>
      <c r="S174" s="260">
        <f>P174/0.112194</f>
        <v>696204.78813483787</v>
      </c>
      <c r="T174" s="286"/>
      <c r="U174" s="286"/>
      <c r="V174" s="926">
        <v>33000</v>
      </c>
      <c r="W174" s="272" t="s">
        <v>1297</v>
      </c>
      <c r="X174" s="286"/>
      <c r="Y174" s="286"/>
      <c r="Z174" s="272"/>
      <c r="AA174" s="286"/>
      <c r="AB174" s="609" t="s">
        <v>2553</v>
      </c>
    </row>
    <row r="175" spans="1:28" ht="43.5" customHeight="1">
      <c r="A175" s="287" t="s">
        <v>1307</v>
      </c>
      <c r="B175" s="287" t="s">
        <v>145</v>
      </c>
      <c r="C175" s="286" t="s">
        <v>916</v>
      </c>
      <c r="D175" s="288" t="s">
        <v>1308</v>
      </c>
      <c r="E175" s="289" t="s">
        <v>35</v>
      </c>
      <c r="F175" s="892" t="s">
        <v>1309</v>
      </c>
      <c r="G175" s="892"/>
      <c r="H175" s="286" t="s">
        <v>1008</v>
      </c>
      <c r="I175" s="272" t="s">
        <v>924</v>
      </c>
      <c r="J175" s="272" t="s">
        <v>1312</v>
      </c>
      <c r="K175" s="272" t="s">
        <v>1310</v>
      </c>
      <c r="L175" s="1257">
        <v>6500</v>
      </c>
      <c r="M175" s="244"/>
      <c r="N175" s="1258">
        <v>325000</v>
      </c>
      <c r="O175" s="1259">
        <v>195000</v>
      </c>
      <c r="P175" s="1225">
        <v>64058</v>
      </c>
      <c r="Q175" s="280" t="s">
        <v>85</v>
      </c>
      <c r="R175" s="268" t="s">
        <v>163</v>
      </c>
      <c r="S175" s="260">
        <f>P175/0.112194</f>
        <v>570957.44870492187</v>
      </c>
      <c r="T175" s="244"/>
      <c r="U175" s="488"/>
      <c r="V175" s="273">
        <f>153151/10</f>
        <v>15315.1</v>
      </c>
      <c r="W175" s="244"/>
      <c r="X175" s="244"/>
      <c r="Y175" s="244"/>
      <c r="Z175" s="244"/>
      <c r="AA175" s="249"/>
      <c r="AB175" s="609" t="s">
        <v>1306</v>
      </c>
    </row>
    <row r="176" spans="1:28" ht="72.75" customHeight="1">
      <c r="A176" s="287" t="s">
        <v>2133</v>
      </c>
      <c r="B176" s="287" t="s">
        <v>145</v>
      </c>
      <c r="C176" s="286" t="s">
        <v>916</v>
      </c>
      <c r="D176" s="286" t="s">
        <v>934</v>
      </c>
      <c r="E176" s="289" t="s">
        <v>35</v>
      </c>
      <c r="F176" s="891">
        <v>44228</v>
      </c>
      <c r="G176" s="892"/>
      <c r="H176" s="266" t="s">
        <v>936</v>
      </c>
      <c r="I176" s="272" t="s">
        <v>924</v>
      </c>
      <c r="J176" s="286" t="s">
        <v>1312</v>
      </c>
      <c r="K176" s="266" t="s">
        <v>1313</v>
      </c>
      <c r="L176" s="1234">
        <v>5000</v>
      </c>
      <c r="M176" s="499"/>
      <c r="N176" s="1260" t="s">
        <v>2608</v>
      </c>
      <c r="O176" s="1261" t="s">
        <v>2609</v>
      </c>
      <c r="P176" s="1235">
        <v>49275</v>
      </c>
      <c r="Q176" s="274" t="s">
        <v>168</v>
      </c>
      <c r="R176" s="657"/>
      <c r="S176" s="260">
        <f>P176/0.112194</f>
        <v>439194.60933739773</v>
      </c>
      <c r="T176" s="499"/>
      <c r="U176" s="1395"/>
      <c r="V176" s="275">
        <v>16776</v>
      </c>
      <c r="W176" s="499"/>
      <c r="X176" s="499"/>
      <c r="Y176" s="499"/>
      <c r="Z176" s="324"/>
      <c r="AA176" s="485"/>
      <c r="AB176" s="609" t="s">
        <v>2204</v>
      </c>
    </row>
    <row r="177" spans="1:28" ht="117.75" customHeight="1">
      <c r="A177" s="287" t="s">
        <v>1318</v>
      </c>
      <c r="B177" s="287" t="s">
        <v>145</v>
      </c>
      <c r="C177" s="286" t="s">
        <v>916</v>
      </c>
      <c r="D177" s="286" t="s">
        <v>934</v>
      </c>
      <c r="E177" s="289" t="s">
        <v>35</v>
      </c>
      <c r="F177" s="891">
        <v>44228</v>
      </c>
      <c r="G177" s="892"/>
      <c r="H177" s="266" t="s">
        <v>1316</v>
      </c>
      <c r="I177" s="272" t="s">
        <v>924</v>
      </c>
      <c r="J177" s="286"/>
      <c r="K177" s="266" t="s">
        <v>1319</v>
      </c>
      <c r="L177" s="1236">
        <v>2000</v>
      </c>
      <c r="M177" s="499"/>
      <c r="N177" s="1258">
        <v>100000</v>
      </c>
      <c r="O177" s="1235">
        <v>60000</v>
      </c>
      <c r="P177" s="1235">
        <v>19710</v>
      </c>
      <c r="Q177" s="274" t="s">
        <v>53</v>
      </c>
      <c r="R177" s="372" t="s">
        <v>108</v>
      </c>
      <c r="S177" s="260">
        <f>P177/0.112194</f>
        <v>175677.84373495908</v>
      </c>
      <c r="T177" s="499"/>
      <c r="U177" s="1395"/>
      <c r="V177" s="275">
        <v>9937</v>
      </c>
      <c r="W177" s="499"/>
      <c r="X177" s="499"/>
      <c r="Y177" s="499"/>
      <c r="Z177" s="324"/>
      <c r="AA177" s="485"/>
      <c r="AB177" s="609" t="s">
        <v>2205</v>
      </c>
    </row>
    <row r="178" spans="1:28" ht="57" customHeight="1">
      <c r="A178" s="484" t="s">
        <v>1320</v>
      </c>
      <c r="B178" s="287" t="s">
        <v>145</v>
      </c>
      <c r="C178" s="485" t="s">
        <v>916</v>
      </c>
      <c r="D178" s="288" t="s">
        <v>252</v>
      </c>
      <c r="E178" s="289" t="s">
        <v>35</v>
      </c>
      <c r="F178" s="286" t="s">
        <v>834</v>
      </c>
      <c r="G178" s="485"/>
      <c r="H178" s="485" t="s">
        <v>942</v>
      </c>
      <c r="I178" s="357" t="s">
        <v>943</v>
      </c>
      <c r="J178" s="357" t="s">
        <v>944</v>
      </c>
      <c r="K178" s="285" t="s">
        <v>945</v>
      </c>
      <c r="L178" s="354">
        <v>7375</v>
      </c>
      <c r="M178" s="244"/>
      <c r="N178" s="278">
        <f>O178/0.6</f>
        <v>523845.763571791</v>
      </c>
      <c r="O178" s="278">
        <f>P178/(0.001*365*0.9)</f>
        <v>314307.45814307459</v>
      </c>
      <c r="P178" s="347">
        <v>103250</v>
      </c>
      <c r="Q178" s="360" t="s">
        <v>946</v>
      </c>
      <c r="R178" s="518" t="s">
        <v>29</v>
      </c>
      <c r="S178" s="354">
        <v>858000</v>
      </c>
      <c r="T178" s="1401"/>
      <c r="U178" s="488" t="s">
        <v>29</v>
      </c>
      <c r="V178" s="244"/>
      <c r="W178" s="357" t="s">
        <v>947</v>
      </c>
      <c r="X178" s="357" t="s">
        <v>0</v>
      </c>
      <c r="Y178" s="357" t="s">
        <v>801</v>
      </c>
      <c r="Z178" s="357"/>
      <c r="AA178" s="285" t="s">
        <v>30</v>
      </c>
      <c r="AB178" s="609"/>
    </row>
    <row r="179" spans="1:28" ht="29.25" customHeight="1">
      <c r="A179" s="287" t="s">
        <v>1321</v>
      </c>
      <c r="B179" s="287" t="s">
        <v>145</v>
      </c>
      <c r="C179" s="656" t="s">
        <v>916</v>
      </c>
      <c r="D179" s="656" t="s">
        <v>948</v>
      </c>
      <c r="E179" s="498" t="s">
        <v>35</v>
      </c>
      <c r="F179" s="286" t="s">
        <v>781</v>
      </c>
      <c r="G179" s="286"/>
      <c r="H179" s="286" t="s">
        <v>942</v>
      </c>
      <c r="I179" s="271" t="s">
        <v>943</v>
      </c>
      <c r="J179" s="271" t="s">
        <v>944</v>
      </c>
      <c r="K179" s="286" t="s">
        <v>945</v>
      </c>
      <c r="L179" s="354">
        <v>6000</v>
      </c>
      <c r="M179" s="286"/>
      <c r="N179" s="278">
        <f>O179/0.6</f>
        <v>445459.15778792492</v>
      </c>
      <c r="O179" s="278">
        <f>P179/(0.001*365*0.9)</f>
        <v>267275.49467275495</v>
      </c>
      <c r="P179" s="347">
        <v>87800</v>
      </c>
      <c r="Q179" s="667" t="s">
        <v>946</v>
      </c>
      <c r="R179" s="656" t="s">
        <v>29</v>
      </c>
      <c r="S179" s="278">
        <f t="shared" ref="S179:S187" si="19">P179/0.112194</f>
        <v>782573.04312173557</v>
      </c>
      <c r="T179" s="656" t="s">
        <v>1322</v>
      </c>
      <c r="U179" s="286" t="s">
        <v>29</v>
      </c>
      <c r="V179" s="286" t="s">
        <v>1322</v>
      </c>
      <c r="W179" s="286" t="s">
        <v>947</v>
      </c>
      <c r="X179" s="286" t="s">
        <v>0</v>
      </c>
      <c r="Y179" s="286" t="s">
        <v>801</v>
      </c>
      <c r="Z179" s="286"/>
      <c r="AA179" s="285" t="s">
        <v>30</v>
      </c>
      <c r="AB179" s="609"/>
    </row>
    <row r="180" spans="1:28" ht="51" customHeight="1">
      <c r="A180" s="241" t="s">
        <v>1325</v>
      </c>
      <c r="B180" s="241" t="s">
        <v>145</v>
      </c>
      <c r="C180" s="239" t="s">
        <v>916</v>
      </c>
      <c r="D180" s="475" t="s">
        <v>842</v>
      </c>
      <c r="E180" s="491" t="s">
        <v>35</v>
      </c>
      <c r="F180" s="286" t="s">
        <v>1007</v>
      </c>
      <c r="G180" s="286"/>
      <c r="H180" s="239" t="s">
        <v>936</v>
      </c>
      <c r="I180" s="239" t="s">
        <v>924</v>
      </c>
      <c r="J180" s="239"/>
      <c r="K180" s="272" t="s">
        <v>1326</v>
      </c>
      <c r="L180" s="1230">
        <v>4000</v>
      </c>
      <c r="M180" s="244"/>
      <c r="N180" s="1238">
        <v>200000</v>
      </c>
      <c r="O180" s="1225">
        <f>N180*0.6</f>
        <v>120000</v>
      </c>
      <c r="P180" s="1225">
        <f>O180*0.3285</f>
        <v>39420</v>
      </c>
      <c r="Q180" s="360" t="s">
        <v>53</v>
      </c>
      <c r="R180" s="518" t="s">
        <v>600</v>
      </c>
      <c r="S180" s="260">
        <f t="shared" si="19"/>
        <v>351355.68746991816</v>
      </c>
      <c r="T180" s="244"/>
      <c r="U180" s="488"/>
      <c r="V180" s="318">
        <v>15976</v>
      </c>
      <c r="W180" s="244"/>
      <c r="X180" s="290"/>
      <c r="Y180" s="290"/>
      <c r="Z180" s="290"/>
      <c r="AA180" s="249"/>
      <c r="AB180" s="239" t="s">
        <v>1005</v>
      </c>
    </row>
    <row r="181" spans="1:28" ht="51" customHeight="1">
      <c r="A181" s="241" t="s">
        <v>1327</v>
      </c>
      <c r="B181" s="241" t="s">
        <v>145</v>
      </c>
      <c r="C181" s="239" t="s">
        <v>916</v>
      </c>
      <c r="D181" s="475" t="s">
        <v>1308</v>
      </c>
      <c r="E181" s="491" t="s">
        <v>35</v>
      </c>
      <c r="F181" s="286" t="s">
        <v>1309</v>
      </c>
      <c r="G181" s="892"/>
      <c r="H181" s="286" t="s">
        <v>1008</v>
      </c>
      <c r="I181" s="286" t="s">
        <v>929</v>
      </c>
      <c r="J181" s="272" t="s">
        <v>1312</v>
      </c>
      <c r="K181" s="272" t="s">
        <v>2541</v>
      </c>
      <c r="L181" s="1230">
        <v>4500</v>
      </c>
      <c r="M181" s="244"/>
      <c r="N181" s="1238">
        <v>225000</v>
      </c>
      <c r="O181" s="1225">
        <f t="shared" ref="O181:O199" si="20">N181*0.6</f>
        <v>135000</v>
      </c>
      <c r="P181" s="1225">
        <f t="shared" ref="P181:P199" si="21">O181*0.3285</f>
        <v>44347.5</v>
      </c>
      <c r="Q181" s="280" t="s">
        <v>85</v>
      </c>
      <c r="R181" s="268" t="s">
        <v>55</v>
      </c>
      <c r="S181" s="260">
        <f t="shared" si="19"/>
        <v>395275.14840365795</v>
      </c>
      <c r="T181" s="244"/>
      <c r="U181" s="488"/>
      <c r="V181" s="273">
        <f>136018/10</f>
        <v>13601.8</v>
      </c>
      <c r="W181" s="244"/>
      <c r="X181" s="290"/>
      <c r="Y181" s="290"/>
      <c r="Z181" s="290"/>
      <c r="AA181" s="249"/>
      <c r="AB181" s="507" t="s">
        <v>1306</v>
      </c>
    </row>
    <row r="182" spans="1:28" ht="51" customHeight="1">
      <c r="A182" s="241" t="s">
        <v>1328</v>
      </c>
      <c r="B182" s="241" t="s">
        <v>145</v>
      </c>
      <c r="C182" s="239" t="s">
        <v>916</v>
      </c>
      <c r="D182" s="475" t="s">
        <v>1308</v>
      </c>
      <c r="E182" s="491" t="s">
        <v>35</v>
      </c>
      <c r="F182" s="286" t="s">
        <v>1323</v>
      </c>
      <c r="G182" s="892"/>
      <c r="H182" s="286" t="s">
        <v>1008</v>
      </c>
      <c r="I182" s="286" t="s">
        <v>929</v>
      </c>
      <c r="J182" s="272" t="s">
        <v>1312</v>
      </c>
      <c r="K182" s="272" t="s">
        <v>1329</v>
      </c>
      <c r="L182" s="1230">
        <v>6500</v>
      </c>
      <c r="M182" s="244"/>
      <c r="N182" s="1238">
        <v>325000</v>
      </c>
      <c r="O182" s="1225">
        <f t="shared" si="20"/>
        <v>195000</v>
      </c>
      <c r="P182" s="1225">
        <f t="shared" si="21"/>
        <v>64057.5</v>
      </c>
      <c r="Q182" s="280" t="s">
        <v>85</v>
      </c>
      <c r="R182" s="268" t="s">
        <v>163</v>
      </c>
      <c r="S182" s="260">
        <f t="shared" si="19"/>
        <v>570952.99213861697</v>
      </c>
      <c r="T182" s="244"/>
      <c r="U182" s="488"/>
      <c r="V182" s="273">
        <f>155682/10</f>
        <v>15568.2</v>
      </c>
      <c r="W182" s="244"/>
      <c r="X182" s="290"/>
      <c r="Y182" s="290"/>
      <c r="Z182" s="290"/>
      <c r="AA182" s="249"/>
      <c r="AB182" s="239" t="s">
        <v>1005</v>
      </c>
    </row>
    <row r="183" spans="1:28" ht="51" customHeight="1">
      <c r="A183" s="241" t="s">
        <v>1330</v>
      </c>
      <c r="B183" s="241" t="s">
        <v>145</v>
      </c>
      <c r="C183" s="239" t="s">
        <v>916</v>
      </c>
      <c r="D183" s="475" t="s">
        <v>252</v>
      </c>
      <c r="E183" s="491" t="s">
        <v>35</v>
      </c>
      <c r="F183" s="239" t="s">
        <v>1309</v>
      </c>
      <c r="G183" s="892"/>
      <c r="H183" s="272" t="s">
        <v>1008</v>
      </c>
      <c r="I183" s="272" t="s">
        <v>952</v>
      </c>
      <c r="J183" s="272" t="s">
        <v>1332</v>
      </c>
      <c r="K183" s="272" t="s">
        <v>1333</v>
      </c>
      <c r="L183" s="1230">
        <v>6500</v>
      </c>
      <c r="M183" s="244"/>
      <c r="N183" s="1238">
        <v>325000</v>
      </c>
      <c r="O183" s="1225">
        <f t="shared" si="20"/>
        <v>195000</v>
      </c>
      <c r="P183" s="1225">
        <f t="shared" si="21"/>
        <v>64057.5</v>
      </c>
      <c r="Q183" s="280" t="s">
        <v>85</v>
      </c>
      <c r="R183" s="268" t="s">
        <v>163</v>
      </c>
      <c r="S183" s="260">
        <f t="shared" si="19"/>
        <v>570952.99213861697</v>
      </c>
      <c r="T183" s="244"/>
      <c r="U183" s="488"/>
      <c r="V183" s="273">
        <f>174734/10</f>
        <v>17473.400000000001</v>
      </c>
      <c r="W183" s="244"/>
      <c r="X183" s="290"/>
      <c r="Y183" s="290"/>
      <c r="Z183" s="290"/>
      <c r="AA183" s="249"/>
      <c r="AB183" s="507" t="s">
        <v>1306</v>
      </c>
    </row>
    <row r="184" spans="1:28" ht="51" customHeight="1">
      <c r="A184" s="241" t="s">
        <v>1334</v>
      </c>
      <c r="B184" s="241" t="s">
        <v>145</v>
      </c>
      <c r="C184" s="239" t="s">
        <v>916</v>
      </c>
      <c r="D184" s="475" t="s">
        <v>252</v>
      </c>
      <c r="E184" s="491" t="s">
        <v>35</v>
      </c>
      <c r="F184" s="900" t="s">
        <v>1309</v>
      </c>
      <c r="G184" s="892"/>
      <c r="H184" s="272" t="s">
        <v>1008</v>
      </c>
      <c r="I184" s="272" t="s">
        <v>929</v>
      </c>
      <c r="J184" s="272" t="s">
        <v>1324</v>
      </c>
      <c r="K184" s="272" t="s">
        <v>1335</v>
      </c>
      <c r="L184" s="1230">
        <v>4000</v>
      </c>
      <c r="M184" s="244"/>
      <c r="N184" s="1238">
        <v>200000</v>
      </c>
      <c r="O184" s="1225">
        <f t="shared" si="20"/>
        <v>120000</v>
      </c>
      <c r="P184" s="1225">
        <f t="shared" si="21"/>
        <v>39420</v>
      </c>
      <c r="Q184" s="280" t="s">
        <v>85</v>
      </c>
      <c r="R184" s="268" t="s">
        <v>163</v>
      </c>
      <c r="S184" s="260">
        <f t="shared" si="19"/>
        <v>351355.68746991816</v>
      </c>
      <c r="T184" s="244"/>
      <c r="U184" s="488"/>
      <c r="V184" s="273">
        <f>177475/10</f>
        <v>17747.5</v>
      </c>
      <c r="W184" s="244"/>
      <c r="X184" s="290"/>
      <c r="Y184" s="290"/>
      <c r="Z184" s="290"/>
      <c r="AA184" s="249"/>
      <c r="AB184" s="507" t="s">
        <v>1306</v>
      </c>
    </row>
    <row r="185" spans="1:28" ht="51" customHeight="1">
      <c r="A185" s="241" t="s">
        <v>1336</v>
      </c>
      <c r="B185" s="241" t="s">
        <v>145</v>
      </c>
      <c r="C185" s="239" t="s">
        <v>916</v>
      </c>
      <c r="D185" s="475" t="s">
        <v>252</v>
      </c>
      <c r="E185" s="491" t="s">
        <v>35</v>
      </c>
      <c r="F185" s="239"/>
      <c r="G185" s="286"/>
      <c r="H185" s="272" t="s">
        <v>1337</v>
      </c>
      <c r="I185" s="272" t="s">
        <v>924</v>
      </c>
      <c r="J185" s="272"/>
      <c r="K185" s="272" t="s">
        <v>1338</v>
      </c>
      <c r="L185" s="1230">
        <v>6500</v>
      </c>
      <c r="M185" s="244"/>
      <c r="N185" s="1238">
        <v>325000</v>
      </c>
      <c r="O185" s="1225">
        <f t="shared" si="20"/>
        <v>195000</v>
      </c>
      <c r="P185" s="1225">
        <f t="shared" si="21"/>
        <v>64057.5</v>
      </c>
      <c r="Q185" s="280" t="s">
        <v>53</v>
      </c>
      <c r="R185" s="267" t="s">
        <v>600</v>
      </c>
      <c r="S185" s="260">
        <f t="shared" si="19"/>
        <v>570952.99213861697</v>
      </c>
      <c r="T185" s="244"/>
      <c r="U185" s="488"/>
      <c r="V185" s="273">
        <v>19100</v>
      </c>
      <c r="W185" s="244"/>
      <c r="X185" s="290"/>
      <c r="Y185" s="290"/>
      <c r="Z185" s="290"/>
      <c r="AA185" s="249"/>
      <c r="AB185" s="239" t="s">
        <v>1005</v>
      </c>
    </row>
    <row r="186" spans="1:28" ht="42" customHeight="1">
      <c r="A186" s="241" t="s">
        <v>1351</v>
      </c>
      <c r="B186" s="241" t="s">
        <v>145</v>
      </c>
      <c r="C186" s="239" t="s">
        <v>916</v>
      </c>
      <c r="D186" s="475" t="s">
        <v>252</v>
      </c>
      <c r="E186" s="491" t="s">
        <v>35</v>
      </c>
      <c r="F186" s="239"/>
      <c r="G186" s="286"/>
      <c r="H186" s="272" t="s">
        <v>1337</v>
      </c>
      <c r="I186" s="272" t="s">
        <v>924</v>
      </c>
      <c r="J186" s="239"/>
      <c r="K186" s="272" t="s">
        <v>1352</v>
      </c>
      <c r="L186" s="1230">
        <v>4000</v>
      </c>
      <c r="M186" s="244"/>
      <c r="N186" s="1238">
        <v>200000</v>
      </c>
      <c r="O186" s="1225">
        <f t="shared" si="20"/>
        <v>120000</v>
      </c>
      <c r="P186" s="1225">
        <f t="shared" si="21"/>
        <v>39420</v>
      </c>
      <c r="Q186" s="280" t="s">
        <v>53</v>
      </c>
      <c r="R186" s="267" t="s">
        <v>600</v>
      </c>
      <c r="S186" s="260">
        <f t="shared" si="19"/>
        <v>351355.68746991816</v>
      </c>
      <c r="T186" s="244"/>
      <c r="U186" s="488"/>
      <c r="V186" s="273">
        <v>16900</v>
      </c>
      <c r="W186" s="244"/>
      <c r="X186" s="290"/>
      <c r="Y186" s="290"/>
      <c r="Z186" s="290"/>
      <c r="AA186" s="249"/>
      <c r="AB186" s="239" t="s">
        <v>1005</v>
      </c>
    </row>
    <row r="187" spans="1:28" ht="57.75" customHeight="1">
      <c r="A187" s="241" t="s">
        <v>1357</v>
      </c>
      <c r="B187" s="241" t="s">
        <v>145</v>
      </c>
      <c r="C187" s="239" t="s">
        <v>916</v>
      </c>
      <c r="D187" s="475" t="s">
        <v>252</v>
      </c>
      <c r="E187" s="491" t="s">
        <v>35</v>
      </c>
      <c r="F187" s="239"/>
      <c r="G187" s="286"/>
      <c r="H187" s="272" t="s">
        <v>1008</v>
      </c>
      <c r="I187" s="272" t="s">
        <v>924</v>
      </c>
      <c r="J187" s="239"/>
      <c r="K187" s="272" t="s">
        <v>1358</v>
      </c>
      <c r="L187" s="1230">
        <v>6500</v>
      </c>
      <c r="M187" s="244"/>
      <c r="N187" s="1238">
        <v>325000</v>
      </c>
      <c r="O187" s="1225">
        <f t="shared" si="20"/>
        <v>195000</v>
      </c>
      <c r="P187" s="1225">
        <f t="shared" si="21"/>
        <v>64057.5</v>
      </c>
      <c r="Q187" s="280" t="s">
        <v>85</v>
      </c>
      <c r="R187" s="268" t="s">
        <v>163</v>
      </c>
      <c r="S187" s="260">
        <f t="shared" si="19"/>
        <v>570952.99213861697</v>
      </c>
      <c r="T187" s="244"/>
      <c r="U187" s="488"/>
      <c r="V187" s="273">
        <v>8540</v>
      </c>
      <c r="W187" s="244"/>
      <c r="X187" s="290"/>
      <c r="Y187" s="290"/>
      <c r="Z187" s="290"/>
      <c r="AA187" s="249"/>
      <c r="AB187" s="239" t="s">
        <v>1005</v>
      </c>
    </row>
    <row r="188" spans="1:28" ht="43.35" customHeight="1">
      <c r="A188" s="241" t="s">
        <v>1367</v>
      </c>
      <c r="B188" s="241" t="s">
        <v>145</v>
      </c>
      <c r="C188" s="239" t="s">
        <v>916</v>
      </c>
      <c r="D188" s="475" t="s">
        <v>1308</v>
      </c>
      <c r="E188" s="491" t="s">
        <v>35</v>
      </c>
      <c r="F188" s="239"/>
      <c r="G188" s="286"/>
      <c r="H188" s="272" t="s">
        <v>936</v>
      </c>
      <c r="I188" s="272" t="s">
        <v>924</v>
      </c>
      <c r="J188" s="239"/>
      <c r="K188" s="272" t="s">
        <v>1368</v>
      </c>
      <c r="L188" s="1230">
        <v>4000</v>
      </c>
      <c r="M188" s="244"/>
      <c r="N188" s="1238">
        <v>200000</v>
      </c>
      <c r="O188" s="1225">
        <f t="shared" si="20"/>
        <v>120000</v>
      </c>
      <c r="P188" s="1225">
        <f t="shared" si="21"/>
        <v>39420</v>
      </c>
      <c r="Q188" s="280" t="s">
        <v>53</v>
      </c>
      <c r="R188" s="268" t="s">
        <v>600</v>
      </c>
      <c r="S188" s="260">
        <f t="shared" ref="S188:S199" si="22">P188/0.112194</f>
        <v>351355.68746991816</v>
      </c>
      <c r="T188" s="244"/>
      <c r="U188" s="488"/>
      <c r="V188" s="273">
        <v>27200</v>
      </c>
      <c r="W188" s="244"/>
      <c r="X188" s="290"/>
      <c r="Y188" s="290"/>
      <c r="Z188" s="290"/>
      <c r="AA188" s="249"/>
      <c r="AB188" s="239" t="s">
        <v>1005</v>
      </c>
    </row>
    <row r="189" spans="1:28" s="750" customFormat="1" ht="49.35" customHeight="1">
      <c r="A189" s="241" t="s">
        <v>1371</v>
      </c>
      <c r="B189" s="241" t="s">
        <v>145</v>
      </c>
      <c r="C189" s="239" t="s">
        <v>916</v>
      </c>
      <c r="D189" s="475" t="s">
        <v>1308</v>
      </c>
      <c r="E189" s="491" t="s">
        <v>35</v>
      </c>
      <c r="F189" s="239"/>
      <c r="G189" s="286"/>
      <c r="H189" s="272" t="s">
        <v>1008</v>
      </c>
      <c r="I189" s="272" t="s">
        <v>924</v>
      </c>
      <c r="J189" s="239"/>
      <c r="K189" s="272" t="s">
        <v>1372</v>
      </c>
      <c r="L189" s="1230">
        <v>4000</v>
      </c>
      <c r="M189" s="244"/>
      <c r="N189" s="1238">
        <v>200000</v>
      </c>
      <c r="O189" s="1225">
        <f t="shared" si="20"/>
        <v>120000</v>
      </c>
      <c r="P189" s="1225">
        <f t="shared" si="21"/>
        <v>39420</v>
      </c>
      <c r="Q189" s="280" t="s">
        <v>85</v>
      </c>
      <c r="R189" s="268" t="s">
        <v>163</v>
      </c>
      <c r="S189" s="260">
        <f t="shared" si="22"/>
        <v>351355.68746991816</v>
      </c>
      <c r="T189" s="244"/>
      <c r="U189" s="488"/>
      <c r="V189" s="273">
        <v>25000</v>
      </c>
      <c r="W189" s="244"/>
      <c r="X189" s="290"/>
      <c r="Y189" s="290"/>
      <c r="Z189" s="290"/>
      <c r="AA189" s="249"/>
      <c r="AB189" s="239" t="s">
        <v>1005</v>
      </c>
    </row>
    <row r="190" spans="1:28" s="1216" customFormat="1" ht="36" customHeight="1">
      <c r="A190" s="484" t="s">
        <v>2891</v>
      </c>
      <c r="B190" s="287" t="s">
        <v>145</v>
      </c>
      <c r="C190" s="485" t="s">
        <v>916</v>
      </c>
      <c r="D190" s="288" t="s">
        <v>965</v>
      </c>
      <c r="E190" s="498" t="s">
        <v>35</v>
      </c>
      <c r="F190" s="286"/>
      <c r="G190" s="499"/>
      <c r="H190" s="272" t="s">
        <v>936</v>
      </c>
      <c r="I190" s="272" t="s">
        <v>924</v>
      </c>
      <c r="J190" s="272" t="s">
        <v>924</v>
      </c>
      <c r="K190" s="743" t="s">
        <v>2893</v>
      </c>
      <c r="L190" s="726" t="s">
        <v>2892</v>
      </c>
      <c r="M190" s="499"/>
      <c r="N190" s="486"/>
      <c r="O190" s="1020"/>
      <c r="P190" s="568"/>
      <c r="Q190" s="484" t="s">
        <v>2890</v>
      </c>
      <c r="R190" s="288"/>
      <c r="S190" s="1402"/>
      <c r="T190" s="498"/>
      <c r="U190" s="1403"/>
      <c r="V190" s="742">
        <v>15922</v>
      </c>
      <c r="W190" s="498"/>
      <c r="X190" s="789"/>
      <c r="Y190" s="789"/>
      <c r="Z190" s="239"/>
      <c r="AA190" s="288"/>
      <c r="AB190" s="1142" t="s">
        <v>2889</v>
      </c>
    </row>
    <row r="191" spans="1:28" s="750" customFormat="1" ht="49.7" customHeight="1">
      <c r="A191" s="241" t="s">
        <v>1381</v>
      </c>
      <c r="B191" s="241" t="s">
        <v>145</v>
      </c>
      <c r="C191" s="239" t="s">
        <v>916</v>
      </c>
      <c r="D191" s="475" t="s">
        <v>1308</v>
      </c>
      <c r="E191" s="491" t="s">
        <v>35</v>
      </c>
      <c r="F191" s="239"/>
      <c r="G191" s="286"/>
      <c r="H191" s="272" t="s">
        <v>936</v>
      </c>
      <c r="I191" s="272" t="s">
        <v>924</v>
      </c>
      <c r="J191" s="239"/>
      <c r="K191" s="272" t="s">
        <v>1382</v>
      </c>
      <c r="L191" s="1230">
        <v>6500</v>
      </c>
      <c r="M191" s="244"/>
      <c r="N191" s="1238">
        <v>325000</v>
      </c>
      <c r="O191" s="1225">
        <f t="shared" si="20"/>
        <v>195000</v>
      </c>
      <c r="P191" s="1225">
        <f t="shared" si="21"/>
        <v>64057.5</v>
      </c>
      <c r="Q191" s="280" t="s">
        <v>53</v>
      </c>
      <c r="R191" s="268" t="s">
        <v>600</v>
      </c>
      <c r="S191" s="260">
        <f t="shared" si="22"/>
        <v>570952.99213861697</v>
      </c>
      <c r="T191" s="244"/>
      <c r="U191" s="488"/>
      <c r="V191" s="273">
        <v>16800</v>
      </c>
      <c r="W191" s="244"/>
      <c r="X191" s="290"/>
      <c r="Y191" s="290"/>
      <c r="Z191" s="290"/>
      <c r="AA191" s="249"/>
      <c r="AB191" s="239" t="s">
        <v>1005</v>
      </c>
    </row>
    <row r="192" spans="1:28" ht="49.7" customHeight="1">
      <c r="A192" s="241" t="s">
        <v>1385</v>
      </c>
      <c r="B192" s="241" t="s">
        <v>145</v>
      </c>
      <c r="C192" s="239" t="s">
        <v>916</v>
      </c>
      <c r="D192" s="475" t="s">
        <v>1308</v>
      </c>
      <c r="E192" s="491" t="s">
        <v>35</v>
      </c>
      <c r="F192" s="239"/>
      <c r="G192" s="286"/>
      <c r="H192" s="272" t="s">
        <v>1008</v>
      </c>
      <c r="I192" s="272" t="s">
        <v>924</v>
      </c>
      <c r="J192" s="239"/>
      <c r="K192" s="272" t="s">
        <v>1386</v>
      </c>
      <c r="L192" s="1230">
        <v>2000</v>
      </c>
      <c r="M192" s="244"/>
      <c r="N192" s="1238">
        <v>100000</v>
      </c>
      <c r="O192" s="1225">
        <f t="shared" si="20"/>
        <v>60000</v>
      </c>
      <c r="P192" s="1225">
        <f t="shared" si="21"/>
        <v>19710</v>
      </c>
      <c r="Q192" s="280" t="s">
        <v>85</v>
      </c>
      <c r="R192" s="268" t="s">
        <v>163</v>
      </c>
      <c r="S192" s="260">
        <f t="shared" si="22"/>
        <v>175677.84373495908</v>
      </c>
      <c r="T192" s="244"/>
      <c r="U192" s="488"/>
      <c r="V192" s="273">
        <v>10000</v>
      </c>
      <c r="W192" s="244"/>
      <c r="X192" s="290"/>
      <c r="Y192" s="290"/>
      <c r="Z192" s="290"/>
      <c r="AA192" s="249"/>
      <c r="AB192" s="239" t="s">
        <v>1005</v>
      </c>
    </row>
    <row r="193" spans="1:28" ht="61.5" customHeight="1">
      <c r="A193" s="287" t="s">
        <v>1387</v>
      </c>
      <c r="B193" s="287" t="s">
        <v>145</v>
      </c>
      <c r="C193" s="286" t="s">
        <v>916</v>
      </c>
      <c r="D193" s="286" t="s">
        <v>1308</v>
      </c>
      <c r="E193" s="289" t="s">
        <v>35</v>
      </c>
      <c r="F193" s="891"/>
      <c r="G193" s="892"/>
      <c r="H193" s="266" t="s">
        <v>1316</v>
      </c>
      <c r="I193" s="272" t="s">
        <v>924</v>
      </c>
      <c r="J193" s="286"/>
      <c r="K193" s="266" t="s">
        <v>1388</v>
      </c>
      <c r="L193" s="1234">
        <v>2000</v>
      </c>
      <c r="M193" s="499"/>
      <c r="N193" s="1238">
        <v>100000</v>
      </c>
      <c r="O193" s="1225">
        <f t="shared" si="20"/>
        <v>60000</v>
      </c>
      <c r="P193" s="1225">
        <f t="shared" si="21"/>
        <v>19710</v>
      </c>
      <c r="Q193" s="274" t="s">
        <v>53</v>
      </c>
      <c r="R193" s="1404" t="s">
        <v>108</v>
      </c>
      <c r="S193" s="260">
        <f t="shared" si="22"/>
        <v>175677.84373495908</v>
      </c>
      <c r="T193" s="499"/>
      <c r="U193" s="1395"/>
      <c r="V193" s="275">
        <v>8086</v>
      </c>
      <c r="W193" s="499"/>
      <c r="X193" s="499"/>
      <c r="Y193" s="499"/>
      <c r="Z193" s="324"/>
      <c r="AA193" s="485"/>
      <c r="AB193" s="609" t="s">
        <v>1314</v>
      </c>
    </row>
    <row r="194" spans="1:28" ht="56.25" customHeight="1">
      <c r="A194" s="241" t="s">
        <v>1396</v>
      </c>
      <c r="B194" s="241" t="s">
        <v>145</v>
      </c>
      <c r="C194" s="239" t="s">
        <v>916</v>
      </c>
      <c r="D194" s="475" t="s">
        <v>252</v>
      </c>
      <c r="E194" s="491" t="s">
        <v>35</v>
      </c>
      <c r="F194" s="239"/>
      <c r="G194" s="286"/>
      <c r="H194" s="272" t="s">
        <v>1008</v>
      </c>
      <c r="I194" s="272" t="s">
        <v>924</v>
      </c>
      <c r="J194" s="239"/>
      <c r="K194" s="272" t="s">
        <v>1397</v>
      </c>
      <c r="L194" s="1230">
        <v>4500</v>
      </c>
      <c r="M194" s="244"/>
      <c r="N194" s="1238">
        <v>225000</v>
      </c>
      <c r="O194" s="1225">
        <f t="shared" si="20"/>
        <v>135000</v>
      </c>
      <c r="P194" s="1225">
        <f t="shared" si="21"/>
        <v>44347.5</v>
      </c>
      <c r="Q194" s="280" t="s">
        <v>85</v>
      </c>
      <c r="R194" s="268" t="s">
        <v>163</v>
      </c>
      <c r="S194" s="260">
        <f t="shared" si="22"/>
        <v>395275.14840365795</v>
      </c>
      <c r="T194" s="244"/>
      <c r="U194" s="488"/>
      <c r="V194" s="273">
        <v>8500</v>
      </c>
      <c r="W194" s="244"/>
      <c r="X194" s="244"/>
      <c r="Y194" s="244"/>
      <c r="Z194" s="244"/>
      <c r="AA194" s="249"/>
      <c r="AB194" s="239" t="s">
        <v>1005</v>
      </c>
    </row>
    <row r="195" spans="1:28" ht="75" customHeight="1">
      <c r="A195" s="287" t="s">
        <v>1402</v>
      </c>
      <c r="B195" s="287" t="s">
        <v>145</v>
      </c>
      <c r="C195" s="286" t="s">
        <v>916</v>
      </c>
      <c r="D195" s="286" t="s">
        <v>934</v>
      </c>
      <c r="E195" s="289" t="s">
        <v>35</v>
      </c>
      <c r="F195" s="891">
        <v>44228</v>
      </c>
      <c r="G195" s="892"/>
      <c r="H195" s="266" t="s">
        <v>1316</v>
      </c>
      <c r="I195" s="272" t="s">
        <v>924</v>
      </c>
      <c r="J195" s="286"/>
      <c r="K195" s="266" t="s">
        <v>1317</v>
      </c>
      <c r="L195" s="1234">
        <v>2000</v>
      </c>
      <c r="M195" s="499"/>
      <c r="N195" s="1238">
        <v>100000</v>
      </c>
      <c r="O195" s="1225">
        <f t="shared" si="20"/>
        <v>60000</v>
      </c>
      <c r="P195" s="1225">
        <f t="shared" si="21"/>
        <v>19710</v>
      </c>
      <c r="Q195" s="274" t="s">
        <v>53</v>
      </c>
      <c r="R195" s="268" t="s">
        <v>163</v>
      </c>
      <c r="S195" s="260">
        <f t="shared" si="22"/>
        <v>175677.84373495908</v>
      </c>
      <c r="T195" s="499"/>
      <c r="U195" s="1395"/>
      <c r="V195" s="275">
        <v>9095</v>
      </c>
      <c r="W195" s="499"/>
      <c r="X195" s="499"/>
      <c r="Y195" s="499"/>
      <c r="Z195" s="324"/>
      <c r="AA195" s="485"/>
      <c r="AB195" s="609" t="s">
        <v>1314</v>
      </c>
    </row>
    <row r="196" spans="1:28" ht="42.75" customHeight="1">
      <c r="A196" s="241" t="s">
        <v>1405</v>
      </c>
      <c r="B196" s="241" t="s">
        <v>145</v>
      </c>
      <c r="C196" s="239" t="s">
        <v>916</v>
      </c>
      <c r="D196" s="475" t="s">
        <v>252</v>
      </c>
      <c r="E196" s="491" t="s">
        <v>35</v>
      </c>
      <c r="F196" s="239"/>
      <c r="G196" s="286"/>
      <c r="H196" s="272" t="s">
        <v>1337</v>
      </c>
      <c r="I196" s="272" t="s">
        <v>924</v>
      </c>
      <c r="J196" s="239"/>
      <c r="K196" s="272" t="s">
        <v>1406</v>
      </c>
      <c r="L196" s="1230">
        <v>6500</v>
      </c>
      <c r="M196" s="244"/>
      <c r="N196" s="1238">
        <v>325000</v>
      </c>
      <c r="O196" s="1225">
        <f t="shared" si="20"/>
        <v>195000</v>
      </c>
      <c r="P196" s="1225">
        <f t="shared" si="21"/>
        <v>64057.5</v>
      </c>
      <c r="Q196" s="280" t="s">
        <v>53</v>
      </c>
      <c r="R196" s="267" t="s">
        <v>108</v>
      </c>
      <c r="S196" s="260">
        <f t="shared" si="22"/>
        <v>570952.99213861697</v>
      </c>
      <c r="T196" s="244"/>
      <c r="U196" s="488"/>
      <c r="V196" s="273">
        <v>16100</v>
      </c>
      <c r="W196" s="244"/>
      <c r="X196" s="244"/>
      <c r="Y196" s="244"/>
      <c r="Z196" s="244"/>
      <c r="AA196" s="249"/>
      <c r="AB196" s="239" t="s">
        <v>1005</v>
      </c>
    </row>
    <row r="197" spans="1:28" ht="132" customHeight="1">
      <c r="A197" s="287" t="s">
        <v>1407</v>
      </c>
      <c r="B197" s="287" t="s">
        <v>145</v>
      </c>
      <c r="C197" s="286" t="s">
        <v>916</v>
      </c>
      <c r="D197" s="286" t="s">
        <v>934</v>
      </c>
      <c r="E197" s="289" t="s">
        <v>35</v>
      </c>
      <c r="F197" s="891">
        <v>44228</v>
      </c>
      <c r="G197" s="892"/>
      <c r="H197" s="266" t="s">
        <v>1316</v>
      </c>
      <c r="I197" s="272" t="s">
        <v>924</v>
      </c>
      <c r="J197" s="286"/>
      <c r="K197" s="266" t="s">
        <v>1319</v>
      </c>
      <c r="L197" s="1234">
        <v>5200</v>
      </c>
      <c r="M197" s="499"/>
      <c r="N197" s="1238">
        <v>260000</v>
      </c>
      <c r="O197" s="1225">
        <f t="shared" si="20"/>
        <v>156000</v>
      </c>
      <c r="P197" s="1225">
        <f t="shared" si="21"/>
        <v>51246</v>
      </c>
      <c r="Q197" s="274" t="s">
        <v>53</v>
      </c>
      <c r="R197" s="1404" t="s">
        <v>108</v>
      </c>
      <c r="S197" s="260">
        <f t="shared" si="22"/>
        <v>456762.39371089364</v>
      </c>
      <c r="T197" s="499"/>
      <c r="U197" s="1395"/>
      <c r="V197" s="275">
        <v>8553</v>
      </c>
      <c r="W197" s="499"/>
      <c r="X197" s="499"/>
      <c r="Y197" s="499"/>
      <c r="Z197" s="324"/>
      <c r="AA197" s="485"/>
      <c r="AB197" s="609" t="s">
        <v>1314</v>
      </c>
    </row>
    <row r="198" spans="1:28" ht="120.75" customHeight="1">
      <c r="A198" s="287" t="s">
        <v>1413</v>
      </c>
      <c r="B198" s="287" t="s">
        <v>145</v>
      </c>
      <c r="C198" s="286" t="s">
        <v>916</v>
      </c>
      <c r="D198" s="286" t="s">
        <v>1308</v>
      </c>
      <c r="E198" s="289" t="s">
        <v>35</v>
      </c>
      <c r="F198" s="891">
        <v>44228</v>
      </c>
      <c r="G198" s="892"/>
      <c r="H198" s="266" t="s">
        <v>1316</v>
      </c>
      <c r="I198" s="272" t="s">
        <v>924</v>
      </c>
      <c r="J198" s="286"/>
      <c r="K198" s="266" t="s">
        <v>1319</v>
      </c>
      <c r="L198" s="1234">
        <v>2400</v>
      </c>
      <c r="M198" s="499"/>
      <c r="N198" s="1238">
        <v>120000</v>
      </c>
      <c r="O198" s="1225">
        <f t="shared" si="20"/>
        <v>72000</v>
      </c>
      <c r="P198" s="1225">
        <f t="shared" si="21"/>
        <v>23652</v>
      </c>
      <c r="Q198" s="274" t="s">
        <v>53</v>
      </c>
      <c r="R198" s="1404" t="s">
        <v>108</v>
      </c>
      <c r="S198" s="260">
        <f t="shared" si="22"/>
        <v>210813.41248195092</v>
      </c>
      <c r="T198" s="499"/>
      <c r="U198" s="1395"/>
      <c r="V198" s="275">
        <v>12135</v>
      </c>
      <c r="W198" s="499"/>
      <c r="X198" s="499"/>
      <c r="Y198" s="499"/>
      <c r="Z198" s="324"/>
      <c r="AA198" s="485"/>
      <c r="AB198" s="609" t="s">
        <v>1314</v>
      </c>
    </row>
    <row r="199" spans="1:28" ht="92.25" customHeight="1">
      <c r="A199" s="287" t="s">
        <v>1414</v>
      </c>
      <c r="B199" s="287" t="s">
        <v>145</v>
      </c>
      <c r="C199" s="286" t="s">
        <v>916</v>
      </c>
      <c r="D199" s="286" t="s">
        <v>262</v>
      </c>
      <c r="E199" s="289" t="s">
        <v>35</v>
      </c>
      <c r="F199" s="891">
        <v>44228</v>
      </c>
      <c r="G199" s="892"/>
      <c r="H199" s="266" t="s">
        <v>936</v>
      </c>
      <c r="I199" s="272" t="s">
        <v>924</v>
      </c>
      <c r="J199" s="286"/>
      <c r="K199" s="266" t="s">
        <v>1415</v>
      </c>
      <c r="L199" s="1234">
        <v>6500</v>
      </c>
      <c r="M199" s="499"/>
      <c r="N199" s="1238">
        <v>325000</v>
      </c>
      <c r="O199" s="1225">
        <f t="shared" si="20"/>
        <v>195000</v>
      </c>
      <c r="P199" s="1225">
        <f t="shared" si="21"/>
        <v>64057.5</v>
      </c>
      <c r="Q199" s="274" t="s">
        <v>53</v>
      </c>
      <c r="R199" s="1404" t="s">
        <v>108</v>
      </c>
      <c r="S199" s="260">
        <f t="shared" si="22"/>
        <v>570952.99213861697</v>
      </c>
      <c r="T199" s="499"/>
      <c r="U199" s="1395"/>
      <c r="V199" s="275">
        <v>20675</v>
      </c>
      <c r="W199" s="499"/>
      <c r="X199" s="499"/>
      <c r="Y199" s="499"/>
      <c r="Z199" s="324"/>
      <c r="AA199" s="485"/>
      <c r="AB199" s="609" t="s">
        <v>1311</v>
      </c>
    </row>
    <row r="200" spans="1:28" ht="42.6" customHeight="1">
      <c r="A200" s="241" t="s">
        <v>1416</v>
      </c>
      <c r="B200" s="241" t="s">
        <v>145</v>
      </c>
      <c r="C200" s="239" t="s">
        <v>916</v>
      </c>
      <c r="D200" s="249" t="s">
        <v>1308</v>
      </c>
      <c r="E200" s="244" t="s">
        <v>35</v>
      </c>
      <c r="F200" s="239"/>
      <c r="G200" s="239"/>
      <c r="H200" s="272" t="s">
        <v>1008</v>
      </c>
      <c r="I200" s="272" t="s">
        <v>924</v>
      </c>
      <c r="J200" s="239"/>
      <c r="K200" s="272" t="s">
        <v>1417</v>
      </c>
      <c r="L200" s="1230">
        <v>2000</v>
      </c>
      <c r="M200" s="244"/>
      <c r="N200" s="1238">
        <v>100000</v>
      </c>
      <c r="O200" s="1225">
        <f>N200*0.6</f>
        <v>60000</v>
      </c>
      <c r="P200" s="1225">
        <f>O200*0.3285</f>
        <v>19710</v>
      </c>
      <c r="Q200" s="280" t="s">
        <v>85</v>
      </c>
      <c r="R200" s="268" t="s">
        <v>163</v>
      </c>
      <c r="S200" s="260">
        <f>P200/0.112194</f>
        <v>175677.84373495908</v>
      </c>
      <c r="T200" s="244"/>
      <c r="U200" s="488"/>
      <c r="V200" s="273">
        <v>12400</v>
      </c>
      <c r="W200" s="244"/>
      <c r="X200" s="244"/>
      <c r="Y200" s="244"/>
      <c r="Z200" s="244"/>
      <c r="AA200" s="249"/>
      <c r="AB200" s="609" t="s">
        <v>1005</v>
      </c>
    </row>
    <row r="201" spans="1:28" ht="42.6" customHeight="1">
      <c r="A201" s="827" t="s">
        <v>2793</v>
      </c>
      <c r="B201" s="287" t="s">
        <v>145</v>
      </c>
      <c r="C201" s="286" t="s">
        <v>916</v>
      </c>
      <c r="D201" s="819" t="s">
        <v>252</v>
      </c>
      <c r="E201" s="819" t="s">
        <v>35</v>
      </c>
      <c r="F201" s="286"/>
      <c r="G201" s="1262">
        <v>45352</v>
      </c>
      <c r="H201" s="774" t="s">
        <v>2817</v>
      </c>
      <c r="I201" s="766"/>
      <c r="J201" s="239"/>
      <c r="K201" s="718" t="s">
        <v>2816</v>
      </c>
      <c r="L201" s="1238">
        <v>6500</v>
      </c>
      <c r="M201" s="244"/>
      <c r="N201" s="1238">
        <v>325000</v>
      </c>
      <c r="O201" s="1225">
        <f>N201*0.6</f>
        <v>195000</v>
      </c>
      <c r="P201" s="1225">
        <f>O201*0.3285</f>
        <v>64057.5</v>
      </c>
      <c r="Q201" s="484" t="s">
        <v>85</v>
      </c>
      <c r="R201" s="657"/>
      <c r="S201" s="260">
        <f>P201/0.112194</f>
        <v>570952.99213861697</v>
      </c>
      <c r="T201" s="244"/>
      <c r="U201" s="488"/>
      <c r="V201" s="1238">
        <v>57795.015840307198</v>
      </c>
      <c r="W201" s="244"/>
      <c r="X201" s="244"/>
      <c r="Y201" s="244"/>
      <c r="Z201" s="244"/>
      <c r="AA201" s="249"/>
      <c r="AB201" s="609" t="s">
        <v>2813</v>
      </c>
    </row>
    <row r="202" spans="1:28" ht="42.6" customHeight="1">
      <c r="A202" s="827" t="s">
        <v>2794</v>
      </c>
      <c r="B202" s="287" t="s">
        <v>145</v>
      </c>
      <c r="C202" s="286" t="s">
        <v>916</v>
      </c>
      <c r="D202" s="819" t="s">
        <v>965</v>
      </c>
      <c r="E202" s="819" t="s">
        <v>35</v>
      </c>
      <c r="F202" s="286"/>
      <c r="G202" s="711">
        <v>45261</v>
      </c>
      <c r="H202" s="774" t="s">
        <v>936</v>
      </c>
      <c r="I202" s="774" t="s">
        <v>924</v>
      </c>
      <c r="J202" s="239"/>
      <c r="K202" s="718" t="s">
        <v>2818</v>
      </c>
      <c r="L202" s="1238">
        <v>5333</v>
      </c>
      <c r="M202" s="244"/>
      <c r="N202" s="1238">
        <v>266650</v>
      </c>
      <c r="O202" s="1225">
        <f>N202*0.6</f>
        <v>159990</v>
      </c>
      <c r="P202" s="1225">
        <f>O202*0.3285</f>
        <v>52556.715000000004</v>
      </c>
      <c r="Q202" s="484" t="s">
        <v>85</v>
      </c>
      <c r="R202" s="657"/>
      <c r="S202" s="260">
        <f>P202/0.112194</f>
        <v>468444.97031926841</v>
      </c>
      <c r="T202" s="244"/>
      <c r="U202" s="488"/>
      <c r="V202" s="1238">
        <v>47418.587611747404</v>
      </c>
      <c r="W202" s="244"/>
      <c r="X202" s="244"/>
      <c r="Y202" s="244"/>
      <c r="Z202" s="1230"/>
      <c r="AA202" s="249"/>
      <c r="AB202" s="609" t="s">
        <v>2813</v>
      </c>
    </row>
    <row r="203" spans="1:28" ht="42.6" customHeight="1">
      <c r="A203" s="827" t="s">
        <v>2819</v>
      </c>
      <c r="B203" s="287" t="s">
        <v>145</v>
      </c>
      <c r="C203" s="286" t="s">
        <v>916</v>
      </c>
      <c r="D203" s="817" t="s">
        <v>934</v>
      </c>
      <c r="E203" s="819" t="s">
        <v>35</v>
      </c>
      <c r="F203" s="239"/>
      <c r="G203" s="715" t="s">
        <v>807</v>
      </c>
      <c r="H203" s="718" t="s">
        <v>3012</v>
      </c>
      <c r="I203" s="766"/>
      <c r="J203" s="239"/>
      <c r="K203" s="718" t="s">
        <v>3013</v>
      </c>
      <c r="L203" s="345"/>
      <c r="M203" s="244"/>
      <c r="N203" s="1263"/>
      <c r="O203" s="345"/>
      <c r="P203" s="803">
        <v>255500</v>
      </c>
      <c r="Q203" s="664" t="s">
        <v>85</v>
      </c>
      <c r="R203" s="657"/>
      <c r="S203" s="775"/>
      <c r="T203" s="244"/>
      <c r="U203" s="488"/>
      <c r="V203" s="661"/>
      <c r="W203" s="244"/>
      <c r="X203" s="244"/>
      <c r="Y203" s="244"/>
      <c r="Z203" s="244"/>
      <c r="AA203" s="249"/>
      <c r="AB203" s="1149" t="s">
        <v>3015</v>
      </c>
    </row>
    <row r="204" spans="1:28" ht="42.6" customHeight="1">
      <c r="A204" s="827" t="s">
        <v>2795</v>
      </c>
      <c r="B204" s="287" t="s">
        <v>145</v>
      </c>
      <c r="C204" s="286" t="s">
        <v>916</v>
      </c>
      <c r="D204" s="819" t="s">
        <v>965</v>
      </c>
      <c r="E204" s="819" t="s">
        <v>35</v>
      </c>
      <c r="F204" s="239"/>
      <c r="G204" s="776">
        <v>45261</v>
      </c>
      <c r="H204" s="774" t="s">
        <v>936</v>
      </c>
      <c r="I204" s="774" t="s">
        <v>924</v>
      </c>
      <c r="J204" s="239"/>
      <c r="K204" s="718" t="s">
        <v>2821</v>
      </c>
      <c r="L204" s="1238">
        <v>6500</v>
      </c>
      <c r="M204" s="244"/>
      <c r="N204" s="1238">
        <v>325000</v>
      </c>
      <c r="O204" s="1225">
        <f>N204*0.6</f>
        <v>195000</v>
      </c>
      <c r="P204" s="1225">
        <f>O204*0.3285</f>
        <v>64057.5</v>
      </c>
      <c r="Q204" s="484" t="s">
        <v>85</v>
      </c>
      <c r="R204" s="657"/>
      <c r="S204" s="260">
        <f>P204/0.112194</f>
        <v>570952.99213861697</v>
      </c>
      <c r="T204" s="244"/>
      <c r="U204" s="488"/>
      <c r="V204" s="1238">
        <v>57795.015840307198</v>
      </c>
      <c r="W204" s="244"/>
      <c r="X204" s="244"/>
      <c r="Y204" s="244"/>
      <c r="Z204" s="1230"/>
      <c r="AA204" s="249"/>
      <c r="AB204" s="609" t="s">
        <v>2813</v>
      </c>
    </row>
    <row r="205" spans="1:28" ht="42.6" customHeight="1">
      <c r="A205" s="827" t="s">
        <v>2796</v>
      </c>
      <c r="B205" s="287" t="s">
        <v>145</v>
      </c>
      <c r="C205" s="286" t="s">
        <v>916</v>
      </c>
      <c r="D205" s="819" t="s">
        <v>262</v>
      </c>
      <c r="E205" s="819" t="s">
        <v>35</v>
      </c>
      <c r="F205" s="239"/>
      <c r="G205" s="776">
        <v>45261</v>
      </c>
      <c r="H205" s="774" t="s">
        <v>936</v>
      </c>
      <c r="I205" s="774" t="s">
        <v>924</v>
      </c>
      <c r="J205" s="239"/>
      <c r="K205" s="718" t="s">
        <v>2822</v>
      </c>
      <c r="L205" s="1238">
        <v>6500</v>
      </c>
      <c r="M205" s="244"/>
      <c r="N205" s="1238">
        <v>325000</v>
      </c>
      <c r="O205" s="1225">
        <f>N205*0.6</f>
        <v>195000</v>
      </c>
      <c r="P205" s="1225">
        <f>O205*0.3285</f>
        <v>64057.5</v>
      </c>
      <c r="Q205" s="484" t="s">
        <v>85</v>
      </c>
      <c r="R205" s="657"/>
      <c r="S205" s="260">
        <f>P205/0.112194</f>
        <v>570952.99213861697</v>
      </c>
      <c r="T205" s="244"/>
      <c r="U205" s="488"/>
      <c r="V205" s="1238">
        <v>57795.015840307198</v>
      </c>
      <c r="W205" s="244"/>
      <c r="X205" s="244"/>
      <c r="Y205" s="244"/>
      <c r="Z205" s="1230"/>
      <c r="AA205" s="249"/>
      <c r="AB205" s="609" t="s">
        <v>2813</v>
      </c>
    </row>
    <row r="206" spans="1:28" ht="42.6" customHeight="1">
      <c r="A206" s="827" t="s">
        <v>2823</v>
      </c>
      <c r="B206" s="287" t="s">
        <v>145</v>
      </c>
      <c r="C206" s="286" t="s">
        <v>916</v>
      </c>
      <c r="D206" s="817" t="s">
        <v>735</v>
      </c>
      <c r="E206" s="819" t="s">
        <v>35</v>
      </c>
      <c r="F206" s="239"/>
      <c r="G206" s="715" t="s">
        <v>2540</v>
      </c>
      <c r="H206" s="718" t="s">
        <v>2824</v>
      </c>
      <c r="I206" s="718" t="s">
        <v>924</v>
      </c>
      <c r="J206" s="239"/>
      <c r="K206" s="718" t="s">
        <v>3014</v>
      </c>
      <c r="L206" s="499"/>
      <c r="M206" s="499"/>
      <c r="N206" s="1257"/>
      <c r="O206" s="568"/>
      <c r="P206" s="803">
        <v>255500</v>
      </c>
      <c r="Q206" s="484" t="s">
        <v>85</v>
      </c>
      <c r="R206" s="659"/>
      <c r="S206" s="510"/>
      <c r="T206" s="487"/>
      <c r="U206" s="524"/>
      <c r="V206" s="661"/>
      <c r="W206" s="290"/>
      <c r="X206" s="290"/>
      <c r="Y206" s="290"/>
      <c r="Z206" s="290"/>
      <c r="AA206" s="249"/>
      <c r="AB206" s="1142" t="s">
        <v>2825</v>
      </c>
    </row>
    <row r="207" spans="1:28" ht="62.25" customHeight="1">
      <c r="A207" s="241" t="s">
        <v>1572</v>
      </c>
      <c r="B207" s="241" t="s">
        <v>145</v>
      </c>
      <c r="C207" s="239" t="s">
        <v>916</v>
      </c>
      <c r="D207" s="239" t="s">
        <v>1331</v>
      </c>
      <c r="E207" s="244" t="s">
        <v>35</v>
      </c>
      <c r="F207" s="286"/>
      <c r="G207" s="286"/>
      <c r="H207" s="239" t="s">
        <v>961</v>
      </c>
      <c r="I207" s="239" t="s">
        <v>924</v>
      </c>
      <c r="J207" s="239" t="s">
        <v>924</v>
      </c>
      <c r="K207" s="272" t="s">
        <v>1573</v>
      </c>
      <c r="L207" s="250"/>
      <c r="M207" s="239"/>
      <c r="N207" s="347">
        <v>330000</v>
      </c>
      <c r="O207" s="1264"/>
      <c r="P207" s="333"/>
      <c r="Q207" s="360" t="s">
        <v>53</v>
      </c>
      <c r="R207" s="538"/>
      <c r="S207" s="333"/>
      <c r="T207" s="482"/>
      <c r="U207" s="248"/>
      <c r="V207" s="482"/>
      <c r="W207" s="249"/>
      <c r="X207" s="249"/>
      <c r="Y207" s="249" t="s">
        <v>963</v>
      </c>
      <c r="Z207" s="249"/>
      <c r="AA207" s="239"/>
      <c r="AB207" s="507" t="s">
        <v>1571</v>
      </c>
    </row>
    <row r="208" spans="1:28" ht="42.75" customHeight="1">
      <c r="A208" s="287" t="s">
        <v>2797</v>
      </c>
      <c r="B208" s="287" t="s">
        <v>145</v>
      </c>
      <c r="C208" s="286" t="s">
        <v>1026</v>
      </c>
      <c r="D208" s="485" t="s">
        <v>1418</v>
      </c>
      <c r="E208" s="499" t="s">
        <v>296</v>
      </c>
      <c r="F208" s="1242" t="s">
        <v>1419</v>
      </c>
      <c r="G208" s="286"/>
      <c r="H208" s="286" t="s">
        <v>1421</v>
      </c>
      <c r="I208" s="271" t="s">
        <v>190</v>
      </c>
      <c r="J208" s="271" t="s">
        <v>1422</v>
      </c>
      <c r="K208" s="271" t="s">
        <v>3126</v>
      </c>
      <c r="L208" s="347" t="s">
        <v>1423</v>
      </c>
      <c r="M208" s="278">
        <f>(11000*100*365)/2000</f>
        <v>200750</v>
      </c>
      <c r="N208" s="278">
        <f>O208/6*10</f>
        <v>1481481.4814814813</v>
      </c>
      <c r="O208" s="278">
        <f>P208/(0.001*365*0.9)</f>
        <v>888888.88888888888</v>
      </c>
      <c r="P208" s="273">
        <f>800*365</f>
        <v>292000</v>
      </c>
      <c r="Q208" s="274" t="s">
        <v>583</v>
      </c>
      <c r="R208" s="659"/>
      <c r="S208" s="260">
        <f>P208/0.112194</f>
        <v>2602634.7219993938</v>
      </c>
      <c r="T208" s="499"/>
      <c r="U208" s="1395"/>
      <c r="V208" s="661" t="s">
        <v>1424</v>
      </c>
      <c r="W208" s="499"/>
      <c r="X208" s="329" t="s">
        <v>1425</v>
      </c>
      <c r="Y208" s="372" t="s">
        <v>2142</v>
      </c>
      <c r="Z208" s="499"/>
      <c r="AA208" s="485" t="s">
        <v>30</v>
      </c>
      <c r="AB208" s="609" t="s">
        <v>3127</v>
      </c>
    </row>
    <row r="209" spans="1:28" ht="89.25" customHeight="1">
      <c r="A209" s="585" t="s">
        <v>1427</v>
      </c>
      <c r="B209" s="241" t="s">
        <v>145</v>
      </c>
      <c r="C209" s="249" t="s">
        <v>1428</v>
      </c>
      <c r="D209" s="249" t="s">
        <v>1429</v>
      </c>
      <c r="E209" s="332" t="s">
        <v>296</v>
      </c>
      <c r="F209" s="271" t="s">
        <v>1430</v>
      </c>
      <c r="G209" s="485"/>
      <c r="H209" s="329" t="s">
        <v>2283</v>
      </c>
      <c r="I209" s="285" t="s">
        <v>1431</v>
      </c>
      <c r="J209" s="249"/>
      <c r="K209" s="285" t="s">
        <v>1432</v>
      </c>
      <c r="L209" s="347">
        <v>9100</v>
      </c>
      <c r="M209" s="347">
        <v>275000</v>
      </c>
      <c r="N209" s="278">
        <f>O209/6*10</f>
        <v>800000</v>
      </c>
      <c r="O209" s="278">
        <f>P209/(0.001*365*0.9)</f>
        <v>480000</v>
      </c>
      <c r="P209" s="347">
        <v>157680</v>
      </c>
      <c r="Q209" s="299" t="s">
        <v>85</v>
      </c>
      <c r="R209" s="285" t="s">
        <v>1433</v>
      </c>
      <c r="S209" s="314">
        <v>7124803</v>
      </c>
      <c r="T209" s="300">
        <v>7124803</v>
      </c>
      <c r="U209" s="300" t="s">
        <v>1434</v>
      </c>
      <c r="V209" s="314">
        <v>512197</v>
      </c>
      <c r="W209" s="300" t="s">
        <v>1436</v>
      </c>
      <c r="X209" s="483"/>
      <c r="Y209" s="483"/>
      <c r="Z209" s="483"/>
      <c r="AA209" s="483"/>
      <c r="AB209" s="609" t="s">
        <v>1426</v>
      </c>
    </row>
    <row r="210" spans="1:28" ht="51" customHeight="1">
      <c r="A210" s="360" t="s">
        <v>1437</v>
      </c>
      <c r="B210" s="241" t="s">
        <v>145</v>
      </c>
      <c r="C210" s="249" t="s">
        <v>1438</v>
      </c>
      <c r="D210" s="475" t="s">
        <v>1530</v>
      </c>
      <c r="E210" s="491" t="s">
        <v>1439</v>
      </c>
      <c r="F210" s="286"/>
      <c r="G210" s="485"/>
      <c r="H210" s="267" t="s">
        <v>1441</v>
      </c>
      <c r="I210" s="329" t="s">
        <v>1442</v>
      </c>
      <c r="J210" s="249"/>
      <c r="K210" s="272" t="s">
        <v>1443</v>
      </c>
      <c r="L210" s="249"/>
      <c r="M210" s="806">
        <v>200000</v>
      </c>
      <c r="N210" s="278">
        <f>O210/0.6</f>
        <v>1319127.3465246067</v>
      </c>
      <c r="O210" s="278">
        <f>P210/(0.001*365*0.9)</f>
        <v>791476.40791476402</v>
      </c>
      <c r="P210" s="347">
        <v>260000</v>
      </c>
      <c r="Q210" s="599" t="s">
        <v>85</v>
      </c>
      <c r="R210" s="518" t="s">
        <v>157</v>
      </c>
      <c r="S210" s="278">
        <f>P210/0.112194</f>
        <v>2317414.4784926111</v>
      </c>
      <c r="T210" s="249"/>
      <c r="U210" s="927"/>
      <c r="V210" s="518"/>
      <c r="W210" s="249"/>
      <c r="X210" s="249"/>
      <c r="Y210" s="249"/>
      <c r="Z210" s="249"/>
      <c r="AA210" s="249" t="s">
        <v>175</v>
      </c>
      <c r="AB210" s="239" t="s">
        <v>2834</v>
      </c>
    </row>
    <row r="211" spans="1:28" ht="51" customHeight="1">
      <c r="A211" s="265" t="s">
        <v>2798</v>
      </c>
      <c r="B211" s="241" t="s">
        <v>145</v>
      </c>
      <c r="C211" s="249" t="s">
        <v>916</v>
      </c>
      <c r="D211" s="475" t="s">
        <v>726</v>
      </c>
      <c r="E211" s="491" t="s">
        <v>742</v>
      </c>
      <c r="F211" s="286"/>
      <c r="G211" s="726">
        <v>2024</v>
      </c>
      <c r="H211" s="743" t="s">
        <v>2827</v>
      </c>
      <c r="I211" s="485"/>
      <c r="J211" s="485"/>
      <c r="K211" s="710" t="s">
        <v>2826</v>
      </c>
      <c r="L211" s="249"/>
      <c r="M211" s="538"/>
      <c r="N211" s="661"/>
      <c r="O211" s="661"/>
      <c r="P211" s="732">
        <v>100000</v>
      </c>
      <c r="Q211" s="778" t="s">
        <v>85</v>
      </c>
      <c r="R211" s="657"/>
      <c r="S211" s="661"/>
      <c r="T211" s="249"/>
      <c r="U211" s="927"/>
      <c r="V211" s="803">
        <v>27900</v>
      </c>
      <c r="W211" s="249"/>
      <c r="X211" s="249"/>
      <c r="Y211" s="249"/>
      <c r="Z211" s="249"/>
      <c r="AA211" s="249"/>
      <c r="AB211" s="1142" t="s">
        <v>2835</v>
      </c>
    </row>
    <row r="212" spans="1:28" ht="66" customHeight="1">
      <c r="A212" s="265" t="s">
        <v>2894</v>
      </c>
      <c r="B212" s="241" t="s">
        <v>145</v>
      </c>
      <c r="C212" s="286" t="s">
        <v>916</v>
      </c>
      <c r="D212" s="288" t="s">
        <v>2953</v>
      </c>
      <c r="E212" s="498" t="s">
        <v>221</v>
      </c>
      <c r="F212" s="710" t="s">
        <v>2895</v>
      </c>
      <c r="G212" s="710" t="s">
        <v>1542</v>
      </c>
      <c r="H212" s="710" t="s">
        <v>2896</v>
      </c>
      <c r="I212" s="710" t="s">
        <v>116</v>
      </c>
      <c r="J212" s="286"/>
      <c r="K212" s="710" t="s">
        <v>2899</v>
      </c>
      <c r="L212" s="728" t="s">
        <v>2897</v>
      </c>
      <c r="M212" s="510"/>
      <c r="N212" s="661"/>
      <c r="O212" s="661"/>
      <c r="P212" s="732">
        <v>140000</v>
      </c>
      <c r="Q212" s="274" t="s">
        <v>85</v>
      </c>
      <c r="R212" s="485"/>
      <c r="S212" s="728">
        <v>1250000</v>
      </c>
      <c r="T212" s="510"/>
      <c r="U212" s="286"/>
      <c r="V212" s="728"/>
      <c r="W212" s="286"/>
      <c r="X212" s="286"/>
      <c r="Y212" s="286"/>
      <c r="Z212" s="710"/>
      <c r="AA212" s="286"/>
      <c r="AB212" s="1142" t="s">
        <v>2898</v>
      </c>
    </row>
    <row r="213" spans="1:28" ht="66" customHeight="1">
      <c r="A213" s="265" t="s">
        <v>2799</v>
      </c>
      <c r="B213" s="241" t="s">
        <v>145</v>
      </c>
      <c r="C213" s="249" t="s">
        <v>916</v>
      </c>
      <c r="D213" s="475" t="s">
        <v>2369</v>
      </c>
      <c r="E213" s="491" t="s">
        <v>221</v>
      </c>
      <c r="F213" s="272" t="s">
        <v>2565</v>
      </c>
      <c r="G213" s="249"/>
      <c r="H213" s="249" t="s">
        <v>2829</v>
      </c>
      <c r="I213" s="485"/>
      <c r="J213" s="485"/>
      <c r="K213" s="272" t="s">
        <v>2830</v>
      </c>
      <c r="L213" s="662">
        <v>8000</v>
      </c>
      <c r="M213" s="249"/>
      <c r="N213" s="347"/>
      <c r="O213" s="347"/>
      <c r="P213" s="273">
        <v>292000</v>
      </c>
      <c r="Q213" s="779" t="s">
        <v>85</v>
      </c>
      <c r="R213" s="489"/>
      <c r="S213" s="493"/>
      <c r="T213" s="360"/>
      <c r="U213" s="516"/>
      <c r="V213" s="1238">
        <v>77454.970490071501</v>
      </c>
      <c r="W213" s="285"/>
      <c r="X213" s="285"/>
      <c r="Y213" s="285"/>
      <c r="Z213" s="272"/>
      <c r="AA213" s="249"/>
      <c r="AB213" s="1142" t="s">
        <v>2828</v>
      </c>
    </row>
    <row r="214" spans="1:28" ht="66" customHeight="1">
      <c r="A214" s="265" t="s">
        <v>2800</v>
      </c>
      <c r="B214" s="241" t="s">
        <v>145</v>
      </c>
      <c r="C214" s="249" t="s">
        <v>916</v>
      </c>
      <c r="D214" s="475" t="s">
        <v>1052</v>
      </c>
      <c r="E214" s="491" t="s">
        <v>222</v>
      </c>
      <c r="F214" s="286"/>
      <c r="G214" s="762" t="s">
        <v>2832</v>
      </c>
      <c r="H214" s="762" t="s">
        <v>2617</v>
      </c>
      <c r="I214" s="485"/>
      <c r="J214" s="485"/>
      <c r="K214" s="272" t="s">
        <v>2833</v>
      </c>
      <c r="L214" s="1238">
        <v>7200</v>
      </c>
      <c r="M214" s="249"/>
      <c r="N214" s="347"/>
      <c r="O214" s="347"/>
      <c r="P214" s="273">
        <v>340545</v>
      </c>
      <c r="Q214" s="599" t="s">
        <v>85</v>
      </c>
      <c r="R214" s="489"/>
      <c r="S214" s="493"/>
      <c r="T214" s="360"/>
      <c r="U214" s="516"/>
      <c r="V214" s="318"/>
      <c r="W214" s="285"/>
      <c r="X214" s="285"/>
      <c r="Y214" s="285"/>
      <c r="Z214" s="272"/>
      <c r="AA214" s="249"/>
      <c r="AB214" s="1142" t="s">
        <v>2831</v>
      </c>
    </row>
    <row r="215" spans="1:28" ht="66.75" customHeight="1">
      <c r="A215" s="241" t="s">
        <v>1449</v>
      </c>
      <c r="B215" s="241" t="s">
        <v>145</v>
      </c>
      <c r="C215" s="239" t="s">
        <v>916</v>
      </c>
      <c r="D215" s="475" t="s">
        <v>1044</v>
      </c>
      <c r="E215" s="480" t="s">
        <v>222</v>
      </c>
      <c r="F215" s="271" t="s">
        <v>1450</v>
      </c>
      <c r="G215" s="286"/>
      <c r="H215" s="239" t="s">
        <v>1451</v>
      </c>
      <c r="I215" s="266" t="s">
        <v>190</v>
      </c>
      <c r="J215" s="239"/>
      <c r="K215" s="239" t="s">
        <v>1452</v>
      </c>
      <c r="L215" s="321">
        <v>11000</v>
      </c>
      <c r="M215" s="239"/>
      <c r="N215" s="278">
        <f>O215/0.6</f>
        <v>130579.92694063927</v>
      </c>
      <c r="O215" s="278">
        <f>P215/(0.001*365*0.9)</f>
        <v>78347.956164383562</v>
      </c>
      <c r="P215" s="278">
        <f>S215*0.112194</f>
        <v>25737.303599999999</v>
      </c>
      <c r="Q215" s="541" t="s">
        <v>85</v>
      </c>
      <c r="R215" s="538" t="s">
        <v>0</v>
      </c>
      <c r="S215" s="318">
        <f>2000000/10*1.147</f>
        <v>229400</v>
      </c>
      <c r="T215" s="239"/>
      <c r="U215" s="239"/>
      <c r="V215" s="250"/>
      <c r="W215" s="250" t="s">
        <v>1453</v>
      </c>
      <c r="X215" s="239"/>
      <c r="Y215" s="239"/>
      <c r="Z215" s="250"/>
      <c r="AA215" s="239" t="s">
        <v>30</v>
      </c>
      <c r="AB215" s="609" t="s">
        <v>1448</v>
      </c>
    </row>
    <row r="216" spans="1:28" ht="66" customHeight="1">
      <c r="A216" s="484" t="s">
        <v>2537</v>
      </c>
      <c r="B216" s="287" t="s">
        <v>145</v>
      </c>
      <c r="C216" s="288" t="s">
        <v>1026</v>
      </c>
      <c r="D216" s="475" t="s">
        <v>1052</v>
      </c>
      <c r="E216" s="289" t="s">
        <v>222</v>
      </c>
      <c r="F216" s="676"/>
      <c r="G216" s="372" t="s">
        <v>2538</v>
      </c>
      <c r="H216" s="485" t="s">
        <v>2539</v>
      </c>
      <c r="I216" s="485"/>
      <c r="J216" s="485"/>
      <c r="K216" s="718" t="s">
        <v>2607</v>
      </c>
      <c r="L216" s="485"/>
      <c r="M216" s="510"/>
      <c r="N216" s="661"/>
      <c r="O216" s="661"/>
      <c r="P216" s="1240">
        <v>560970</v>
      </c>
      <c r="Q216" s="701" t="s">
        <v>85</v>
      </c>
      <c r="R216" s="787"/>
      <c r="S216" s="1405">
        <v>5000000</v>
      </c>
      <c r="T216" s="485"/>
      <c r="U216" s="678"/>
      <c r="V216" s="657"/>
      <c r="W216" s="485"/>
      <c r="X216" s="485"/>
      <c r="Y216" s="485"/>
      <c r="Z216" s="485"/>
      <c r="AA216" s="485"/>
      <c r="AB216" s="609" t="s">
        <v>2606</v>
      </c>
    </row>
    <row r="217" spans="1:28" ht="66" customHeight="1">
      <c r="A217" s="484" t="s">
        <v>3128</v>
      </c>
      <c r="B217" s="287" t="s">
        <v>145</v>
      </c>
      <c r="C217" s="692" t="s">
        <v>916</v>
      </c>
      <c r="D217" s="288" t="s">
        <v>1082</v>
      </c>
      <c r="E217" s="289" t="s">
        <v>416</v>
      </c>
      <c r="F217" s="371" t="s">
        <v>2363</v>
      </c>
      <c r="G217" s="485"/>
      <c r="H217" s="329" t="s">
        <v>2362</v>
      </c>
      <c r="I217" s="329" t="s">
        <v>2377</v>
      </c>
      <c r="J217" s="485"/>
      <c r="K217" s="272" t="s">
        <v>2361</v>
      </c>
      <c r="L217" s="318">
        <v>11000</v>
      </c>
      <c r="M217" s="318"/>
      <c r="N217" s="275">
        <f>1000*60*24</f>
        <v>1440000</v>
      </c>
      <c r="O217" s="279">
        <f>825*60*24</f>
        <v>1188000</v>
      </c>
      <c r="P217" s="1241">
        <f>O217*(0.001*365*0.9)</f>
        <v>390258</v>
      </c>
      <c r="Q217" s="532" t="s">
        <v>85</v>
      </c>
      <c r="R217" s="802" t="s">
        <v>0</v>
      </c>
      <c r="S217" s="260">
        <f>P217/0.112194</f>
        <v>3478421.30595219</v>
      </c>
      <c r="T217" s="288"/>
      <c r="U217" s="288"/>
      <c r="V217" s="288"/>
      <c r="W217" s="547" t="s">
        <v>2360</v>
      </c>
      <c r="X217" s="669"/>
      <c r="Y217" s="613" t="s">
        <v>2378</v>
      </c>
      <c r="Z217" s="613"/>
      <c r="AA217" s="669"/>
      <c r="AB217" s="609" t="s">
        <v>2359</v>
      </c>
    </row>
    <row r="218" spans="1:28" ht="42.75" customHeight="1">
      <c r="A218" s="241" t="s">
        <v>3108</v>
      </c>
      <c r="B218" s="241" t="s">
        <v>145</v>
      </c>
      <c r="C218" s="239" t="s">
        <v>1026</v>
      </c>
      <c r="D218" s="475" t="s">
        <v>1463</v>
      </c>
      <c r="E218" s="480" t="s">
        <v>422</v>
      </c>
      <c r="F218" s="239" t="s">
        <v>1464</v>
      </c>
      <c r="G218" s="679"/>
      <c r="H218" s="239" t="s">
        <v>1465</v>
      </c>
      <c r="I218" s="266" t="s">
        <v>1047</v>
      </c>
      <c r="J218" s="239"/>
      <c r="K218" s="239" t="s">
        <v>3109</v>
      </c>
      <c r="L218" s="321">
        <v>4500</v>
      </c>
      <c r="M218" s="239" t="s">
        <v>1180</v>
      </c>
      <c r="N218" s="278">
        <f>O218/0.6</f>
        <v>622222.22222222225</v>
      </c>
      <c r="O218" s="278">
        <f>P218/(0.001*365*0.9)</f>
        <v>373333.33333333331</v>
      </c>
      <c r="P218" s="275">
        <f>336*365</f>
        <v>122640</v>
      </c>
      <c r="Q218" s="360" t="s">
        <v>85</v>
      </c>
      <c r="R218" s="249" t="s">
        <v>0</v>
      </c>
      <c r="S218" s="260">
        <f>P218/0.112194</f>
        <v>1093106.5832397453</v>
      </c>
      <c r="T218" s="239"/>
      <c r="U218" s="239" t="s">
        <v>29</v>
      </c>
      <c r="V218" s="250">
        <f>5300000/2200</f>
        <v>2409.090909090909</v>
      </c>
      <c r="W218" s="300" t="s">
        <v>1466</v>
      </c>
      <c r="X218" s="239" t="s">
        <v>0</v>
      </c>
      <c r="Y218" s="300" t="s">
        <v>1467</v>
      </c>
      <c r="Z218" s="300"/>
      <c r="AA218" s="300" t="s">
        <v>30</v>
      </c>
      <c r="AB218" s="1140" t="s">
        <v>3110</v>
      </c>
    </row>
    <row r="219" spans="1:28" ht="66" customHeight="1">
      <c r="A219" s="484" t="s">
        <v>2558</v>
      </c>
      <c r="B219" s="287" t="s">
        <v>145</v>
      </c>
      <c r="C219" s="288" t="s">
        <v>916</v>
      </c>
      <c r="D219" s="288" t="s">
        <v>1068</v>
      </c>
      <c r="E219" s="498" t="s">
        <v>222</v>
      </c>
      <c r="F219" s="286">
        <v>2021</v>
      </c>
      <c r="G219" s="485"/>
      <c r="H219" s="485" t="s">
        <v>2270</v>
      </c>
      <c r="I219" s="485"/>
      <c r="J219" s="485"/>
      <c r="K219" s="272" t="s">
        <v>2364</v>
      </c>
      <c r="L219" s="485"/>
      <c r="M219" s="485"/>
      <c r="N219" s="522">
        <f>O219/6*10</f>
        <v>2029426.6869609335</v>
      </c>
      <c r="O219" s="522">
        <f>P219/(0.001*365*0.9)</f>
        <v>1217656.01217656</v>
      </c>
      <c r="P219" s="318">
        <v>400000</v>
      </c>
      <c r="Q219" s="532" t="s">
        <v>85</v>
      </c>
      <c r="R219" s="787"/>
      <c r="S219" s="548">
        <f>P219/0.112194</f>
        <v>3565253.0438347859</v>
      </c>
      <c r="T219" s="288"/>
      <c r="U219" s="670"/>
      <c r="V219" s="668"/>
      <c r="W219" s="547" t="s">
        <v>2206</v>
      </c>
      <c r="X219" s="288"/>
      <c r="Y219" s="288"/>
      <c r="Z219" s="286"/>
      <c r="AA219" s="288"/>
      <c r="AB219" s="609" t="s">
        <v>2269</v>
      </c>
    </row>
    <row r="220" spans="1:28" ht="66" customHeight="1">
      <c r="A220" s="484" t="s">
        <v>2267</v>
      </c>
      <c r="B220" s="287" t="s">
        <v>145</v>
      </c>
      <c r="C220" s="288" t="s">
        <v>916</v>
      </c>
      <c r="D220" s="288" t="s">
        <v>2271</v>
      </c>
      <c r="E220" s="289" t="s">
        <v>428</v>
      </c>
      <c r="F220" s="286">
        <v>2021</v>
      </c>
      <c r="G220" s="485"/>
      <c r="H220" s="485" t="s">
        <v>2270</v>
      </c>
      <c r="I220" s="485"/>
      <c r="J220" s="485"/>
      <c r="K220" s="272" t="s">
        <v>2268</v>
      </c>
      <c r="L220" s="272">
        <v>9500</v>
      </c>
      <c r="M220" s="485"/>
      <c r="N220" s="522">
        <f>O220/6*10</f>
        <v>2536783.3587011667</v>
      </c>
      <c r="O220" s="522">
        <f>P220/(0.001*365*0.9)</f>
        <v>1522070.0152207001</v>
      </c>
      <c r="P220" s="318">
        <v>500000</v>
      </c>
      <c r="Q220" s="532" t="s">
        <v>85</v>
      </c>
      <c r="R220" s="787"/>
      <c r="S220" s="548">
        <f>P220/0.112194</f>
        <v>4456566.3047934826</v>
      </c>
      <c r="T220" s="288"/>
      <c r="U220" s="670"/>
      <c r="V220" s="668"/>
      <c r="W220" s="547" t="s">
        <v>2206</v>
      </c>
      <c r="X220" s="288"/>
      <c r="Y220" s="288"/>
      <c r="Z220" s="286"/>
      <c r="AA220" s="288"/>
      <c r="AB220" s="609" t="s">
        <v>2269</v>
      </c>
    </row>
    <row r="221" spans="1:28" ht="66" customHeight="1">
      <c r="A221" s="264" t="s">
        <v>2900</v>
      </c>
      <c r="B221" s="241" t="s">
        <v>145</v>
      </c>
      <c r="C221" s="288" t="s">
        <v>2903</v>
      </c>
      <c r="D221" s="288" t="s">
        <v>2906</v>
      </c>
      <c r="E221" s="289" t="s">
        <v>224</v>
      </c>
      <c r="F221" s="286"/>
      <c r="G221" s="743" t="s">
        <v>1476</v>
      </c>
      <c r="H221" s="485" t="s">
        <v>2702</v>
      </c>
      <c r="I221" s="485" t="s">
        <v>924</v>
      </c>
      <c r="J221" s="485"/>
      <c r="K221" s="272" t="s">
        <v>2907</v>
      </c>
      <c r="L221" s="286"/>
      <c r="M221" s="485"/>
      <c r="N221" s="662"/>
      <c r="O221" s="662"/>
      <c r="P221" s="510"/>
      <c r="Q221" s="658"/>
      <c r="R221" s="787"/>
      <c r="S221" s="802"/>
      <c r="T221" s="288"/>
      <c r="U221" s="670"/>
      <c r="V221" s="742">
        <v>5000</v>
      </c>
      <c r="W221" s="288"/>
      <c r="X221" s="288"/>
      <c r="Y221" s="288"/>
      <c r="Z221" s="286"/>
      <c r="AA221" s="288"/>
      <c r="AB221" s="1142" t="s">
        <v>2908</v>
      </c>
    </row>
    <row r="222" spans="1:28" ht="62.25" customHeight="1">
      <c r="A222" s="241" t="s">
        <v>1474</v>
      </c>
      <c r="B222" s="241" t="s">
        <v>145</v>
      </c>
      <c r="C222" s="239" t="s">
        <v>1438</v>
      </c>
      <c r="D222" s="475" t="s">
        <v>604</v>
      </c>
      <c r="E222" s="480" t="s">
        <v>171</v>
      </c>
      <c r="F222" s="239" t="s">
        <v>1475</v>
      </c>
      <c r="G222" s="285" t="s">
        <v>1476</v>
      </c>
      <c r="H222" s="300" t="s">
        <v>1477</v>
      </c>
      <c r="I222" s="300" t="s">
        <v>1478</v>
      </c>
      <c r="J222" s="300" t="s">
        <v>1479</v>
      </c>
      <c r="K222" s="300" t="s">
        <v>1480</v>
      </c>
      <c r="L222" s="314" t="s">
        <v>1481</v>
      </c>
      <c r="M222" s="314">
        <v>186150</v>
      </c>
      <c r="N222" s="333"/>
      <c r="O222" s="347">
        <v>2471233</v>
      </c>
      <c r="P222" s="347">
        <v>912500</v>
      </c>
      <c r="Q222" s="242" t="s">
        <v>85</v>
      </c>
      <c r="R222" s="285" t="s">
        <v>0</v>
      </c>
      <c r="S222" s="314">
        <v>7124803</v>
      </c>
      <c r="T222" s="300">
        <v>7124803</v>
      </c>
      <c r="U222" s="300" t="s">
        <v>1482</v>
      </c>
      <c r="V222" s="314">
        <v>512197</v>
      </c>
      <c r="W222" s="300" t="s">
        <v>1436</v>
      </c>
      <c r="X222" s="300" t="s">
        <v>1483</v>
      </c>
      <c r="Y222" s="300" t="s">
        <v>1484</v>
      </c>
      <c r="Z222" s="300"/>
      <c r="AA222" s="300" t="s">
        <v>30</v>
      </c>
      <c r="AB222" s="609" t="s">
        <v>1473</v>
      </c>
    </row>
    <row r="223" spans="1:28" ht="62.25" customHeight="1">
      <c r="A223" s="265" t="s">
        <v>1622</v>
      </c>
      <c r="B223" s="241" t="s">
        <v>145</v>
      </c>
      <c r="C223" s="288" t="s">
        <v>916</v>
      </c>
      <c r="D223" s="475" t="s">
        <v>1624</v>
      </c>
      <c r="E223" s="480" t="s">
        <v>314</v>
      </c>
      <c r="F223" s="239"/>
      <c r="G223" s="485"/>
      <c r="H223" s="710" t="s">
        <v>2838</v>
      </c>
      <c r="I223" s="286"/>
      <c r="J223" s="286"/>
      <c r="K223" s="710" t="s">
        <v>2837</v>
      </c>
      <c r="L223" s="732" t="s">
        <v>2839</v>
      </c>
      <c r="M223" s="510"/>
      <c r="N223" s="661"/>
      <c r="O223" s="661"/>
      <c r="P223" s="661"/>
      <c r="Q223" s="287" t="s">
        <v>85</v>
      </c>
      <c r="R223" s="485"/>
      <c r="S223" s="510"/>
      <c r="T223" s="286"/>
      <c r="U223" s="286"/>
      <c r="V223" s="510"/>
      <c r="W223" s="286"/>
      <c r="X223" s="286"/>
      <c r="Y223" s="286"/>
      <c r="Z223" s="286"/>
      <c r="AA223" s="286"/>
      <c r="AB223" s="1142" t="s">
        <v>2836</v>
      </c>
    </row>
    <row r="224" spans="1:28" ht="62.25" customHeight="1">
      <c r="A224" s="265" t="s">
        <v>2801</v>
      </c>
      <c r="B224" s="241" t="s">
        <v>145</v>
      </c>
      <c r="C224" s="288" t="s">
        <v>916</v>
      </c>
      <c r="D224" s="475" t="s">
        <v>2954</v>
      </c>
      <c r="E224" s="480" t="s">
        <v>314</v>
      </c>
      <c r="F224" s="239"/>
      <c r="G224" s="485"/>
      <c r="H224" s="710" t="s">
        <v>2838</v>
      </c>
      <c r="I224" s="286"/>
      <c r="J224" s="286"/>
      <c r="K224" s="710" t="s">
        <v>2837</v>
      </c>
      <c r="L224" s="732" t="s">
        <v>2840</v>
      </c>
      <c r="M224" s="510"/>
      <c r="N224" s="333"/>
      <c r="O224" s="661"/>
      <c r="P224" s="661"/>
      <c r="Q224" s="287" t="s">
        <v>85</v>
      </c>
      <c r="R224" s="485"/>
      <c r="S224" s="510"/>
      <c r="T224" s="286"/>
      <c r="U224" s="286"/>
      <c r="V224" s="510"/>
      <c r="W224" s="286"/>
      <c r="X224" s="286"/>
      <c r="Y224" s="286"/>
      <c r="Z224" s="286"/>
      <c r="AA224" s="286"/>
      <c r="AB224" s="1142" t="s">
        <v>2836</v>
      </c>
    </row>
    <row r="225" spans="1:28" ht="62.25" customHeight="1">
      <c r="A225" s="265" t="s">
        <v>2802</v>
      </c>
      <c r="B225" s="241" t="s">
        <v>145</v>
      </c>
      <c r="C225" s="288" t="s">
        <v>916</v>
      </c>
      <c r="D225" s="475" t="s">
        <v>2955</v>
      </c>
      <c r="E225" s="480" t="s">
        <v>314</v>
      </c>
      <c r="F225" s="699" t="s">
        <v>2844</v>
      </c>
      <c r="G225" s="661" t="s">
        <v>2820</v>
      </c>
      <c r="H225" s="710" t="s">
        <v>2842</v>
      </c>
      <c r="I225" s="286"/>
      <c r="J225" s="286"/>
      <c r="K225" s="286" t="s">
        <v>2843</v>
      </c>
      <c r="L225" s="1265">
        <v>3830</v>
      </c>
      <c r="M225" s="510"/>
      <c r="N225" s="661"/>
      <c r="O225" s="661"/>
      <c r="P225" s="661" t="s">
        <v>2820</v>
      </c>
      <c r="Q225" s="731" t="s">
        <v>85</v>
      </c>
      <c r="R225" s="485"/>
      <c r="S225" s="510"/>
      <c r="T225" s="286"/>
      <c r="U225" s="286"/>
      <c r="V225" s="510"/>
      <c r="W225" s="286"/>
      <c r="X225" s="286"/>
      <c r="Y225" s="286"/>
      <c r="Z225" s="286"/>
      <c r="AA225" s="286"/>
      <c r="AB225" s="1142" t="s">
        <v>2845</v>
      </c>
    </row>
    <row r="226" spans="1:28" ht="43.5" customHeight="1">
      <c r="A226" s="360" t="s">
        <v>2925</v>
      </c>
      <c r="B226" s="241" t="s">
        <v>145</v>
      </c>
      <c r="C226" s="249" t="s">
        <v>916</v>
      </c>
      <c r="D226" s="475" t="s">
        <v>1485</v>
      </c>
      <c r="E226" s="491" t="s">
        <v>314</v>
      </c>
      <c r="F226" s="239" t="s">
        <v>1486</v>
      </c>
      <c r="G226" s="249"/>
      <c r="H226" s="249" t="s">
        <v>1187</v>
      </c>
      <c r="I226" s="285" t="s">
        <v>1079</v>
      </c>
      <c r="J226" s="285" t="s">
        <v>441</v>
      </c>
      <c r="K226" s="816" t="s">
        <v>3129</v>
      </c>
      <c r="L226" s="493">
        <v>14000</v>
      </c>
      <c r="M226" s="350" t="s">
        <v>1487</v>
      </c>
      <c r="N226" s="278">
        <f>(O226/6)*10</f>
        <v>1666666.6666666665</v>
      </c>
      <c r="O226" s="278">
        <f t="shared" ref="O226:O233" si="23">P226/(0.001*365*0.9)</f>
        <v>1000000</v>
      </c>
      <c r="P226" s="273">
        <v>328500</v>
      </c>
      <c r="Q226" s="378" t="s">
        <v>85</v>
      </c>
      <c r="R226" s="489"/>
      <c r="S226" s="522">
        <f t="shared" ref="S226:S234" si="24">P226/0.112194</f>
        <v>2927964.0622493182</v>
      </c>
      <c r="T226" s="244"/>
      <c r="U226" s="488"/>
      <c r="V226" s="1438">
        <v>98000</v>
      </c>
      <c r="W226" s="285" t="s">
        <v>1173</v>
      </c>
      <c r="X226" s="285" t="s">
        <v>0</v>
      </c>
      <c r="Y226" s="285" t="s">
        <v>1488</v>
      </c>
      <c r="Z226" s="300"/>
      <c r="AA226" s="249"/>
      <c r="AB226" s="239" t="s">
        <v>3130</v>
      </c>
    </row>
    <row r="227" spans="1:28" ht="62.25" customHeight="1">
      <c r="A227" s="287" t="s">
        <v>2212</v>
      </c>
      <c r="B227" s="287" t="s">
        <v>145</v>
      </c>
      <c r="C227" s="286" t="s">
        <v>916</v>
      </c>
      <c r="D227" s="288" t="s">
        <v>2213</v>
      </c>
      <c r="E227" s="498" t="s">
        <v>2214</v>
      </c>
      <c r="F227" s="286"/>
      <c r="G227" s="485"/>
      <c r="H227" s="266" t="s">
        <v>1492</v>
      </c>
      <c r="I227" s="286"/>
      <c r="J227" s="286"/>
      <c r="K227" s="266" t="s">
        <v>2215</v>
      </c>
      <c r="L227" s="321">
        <v>3200</v>
      </c>
      <c r="M227" s="261" t="s">
        <v>2216</v>
      </c>
      <c r="N227" s="278">
        <f>O227/0.6</f>
        <v>194444.44444444444</v>
      </c>
      <c r="O227" s="278">
        <f>P227/(0.001*365*0.9)</f>
        <v>116666.66666666666</v>
      </c>
      <c r="P227" s="275">
        <v>38325</v>
      </c>
      <c r="Q227" s="374" t="s">
        <v>85</v>
      </c>
      <c r="R227" s="485"/>
      <c r="S227" s="260">
        <f t="shared" si="24"/>
        <v>341595.80726242042</v>
      </c>
      <c r="T227" s="286"/>
      <c r="U227" s="286"/>
      <c r="V227" s="321">
        <v>18632</v>
      </c>
      <c r="W227" s="286"/>
      <c r="X227" s="286"/>
      <c r="Y227" s="286"/>
      <c r="Z227" s="266"/>
      <c r="AA227" s="286"/>
      <c r="AB227" s="609" t="s">
        <v>2217</v>
      </c>
    </row>
    <row r="228" spans="1:28" ht="62.25" customHeight="1">
      <c r="A228" s="287" t="s">
        <v>1489</v>
      </c>
      <c r="B228" s="287" t="s">
        <v>145</v>
      </c>
      <c r="C228" s="286" t="s">
        <v>916</v>
      </c>
      <c r="D228" s="288" t="s">
        <v>1490</v>
      </c>
      <c r="E228" s="498" t="s">
        <v>314</v>
      </c>
      <c r="F228" s="266" t="s">
        <v>1491</v>
      </c>
      <c r="G228" s="485"/>
      <c r="H228" s="266" t="s">
        <v>1492</v>
      </c>
      <c r="I228" s="286"/>
      <c r="J228" s="286"/>
      <c r="K228" s="272" t="s">
        <v>2346</v>
      </c>
      <c r="L228" s="321">
        <v>5750</v>
      </c>
      <c r="M228" s="321" t="s">
        <v>1493</v>
      </c>
      <c r="N228" s="278">
        <f t="shared" ref="N228:N234" si="25">O228/0.6</f>
        <v>649416.53982749872</v>
      </c>
      <c r="O228" s="278">
        <f t="shared" si="23"/>
        <v>389649.92389649921</v>
      </c>
      <c r="P228" s="275">
        <v>128000</v>
      </c>
      <c r="Q228" s="374" t="s">
        <v>85</v>
      </c>
      <c r="R228" s="485"/>
      <c r="S228" s="260">
        <f t="shared" si="24"/>
        <v>1140880.9740271315</v>
      </c>
      <c r="T228" s="286"/>
      <c r="U228" s="286"/>
      <c r="V228" s="321">
        <v>34000</v>
      </c>
      <c r="W228" s="547" t="s">
        <v>1453</v>
      </c>
      <c r="X228" s="286"/>
      <c r="Y228" s="286"/>
      <c r="Z228" s="266"/>
      <c r="AA228" s="286"/>
      <c r="AB228" s="609" t="s">
        <v>2561</v>
      </c>
    </row>
    <row r="229" spans="1:28" ht="62.25" customHeight="1">
      <c r="A229" s="287" t="s">
        <v>1494</v>
      </c>
      <c r="B229" s="287" t="s">
        <v>145</v>
      </c>
      <c r="C229" s="286" t="s">
        <v>1026</v>
      </c>
      <c r="D229" s="288" t="s">
        <v>1495</v>
      </c>
      <c r="E229" s="498" t="s">
        <v>314</v>
      </c>
      <c r="F229" s="266" t="s">
        <v>1491</v>
      </c>
      <c r="G229" s="485"/>
      <c r="H229" s="266" t="s">
        <v>1492</v>
      </c>
      <c r="I229" s="286"/>
      <c r="J229" s="286"/>
      <c r="K229" s="710" t="s">
        <v>2873</v>
      </c>
      <c r="L229" s="321">
        <v>3250</v>
      </c>
      <c r="M229" s="261" t="s">
        <v>1496</v>
      </c>
      <c r="N229" s="278">
        <f t="shared" si="25"/>
        <v>385591.07052257739</v>
      </c>
      <c r="O229" s="278">
        <f t="shared" si="23"/>
        <v>231354.64231354641</v>
      </c>
      <c r="P229" s="275">
        <v>76000</v>
      </c>
      <c r="Q229" s="374" t="s">
        <v>85</v>
      </c>
      <c r="R229" s="485"/>
      <c r="S229" s="260">
        <f t="shared" si="24"/>
        <v>677398.07832860935</v>
      </c>
      <c r="T229" s="286"/>
      <c r="U229" s="286"/>
      <c r="V229" s="321">
        <v>27000</v>
      </c>
      <c r="W229" s="547" t="s">
        <v>1453</v>
      </c>
      <c r="X229" s="286"/>
      <c r="Y229" s="286"/>
      <c r="Z229" s="266"/>
      <c r="AA229" s="286"/>
      <c r="AB229" s="609" t="s">
        <v>2560</v>
      </c>
    </row>
    <row r="230" spans="1:28" ht="62.25" customHeight="1">
      <c r="A230" s="287" t="s">
        <v>1497</v>
      </c>
      <c r="B230" s="287" t="s">
        <v>145</v>
      </c>
      <c r="C230" s="286" t="s">
        <v>916</v>
      </c>
      <c r="D230" s="288" t="s">
        <v>1498</v>
      </c>
      <c r="E230" s="498" t="s">
        <v>314</v>
      </c>
      <c r="F230" s="266" t="s">
        <v>1491</v>
      </c>
      <c r="G230" s="485"/>
      <c r="H230" s="266" t="s">
        <v>1492</v>
      </c>
      <c r="I230" s="286"/>
      <c r="J230" s="286"/>
      <c r="K230" s="710" t="s">
        <v>2874</v>
      </c>
      <c r="L230" s="321">
        <v>3020</v>
      </c>
      <c r="M230" s="261" t="s">
        <v>1499</v>
      </c>
      <c r="N230" s="278">
        <f t="shared" si="25"/>
        <v>339928.97006595635</v>
      </c>
      <c r="O230" s="278">
        <f t="shared" si="23"/>
        <v>203957.3820395738</v>
      </c>
      <c r="P230" s="275">
        <v>67000</v>
      </c>
      <c r="Q230" s="374" t="s">
        <v>85</v>
      </c>
      <c r="R230" s="485"/>
      <c r="S230" s="260">
        <f t="shared" si="24"/>
        <v>597179.88484232663</v>
      </c>
      <c r="T230" s="286"/>
      <c r="U230" s="286"/>
      <c r="V230" s="321">
        <v>28000</v>
      </c>
      <c r="W230" s="286"/>
      <c r="X230" s="286"/>
      <c r="Y230" s="286"/>
      <c r="Z230" s="266"/>
      <c r="AA230" s="286"/>
      <c r="AB230" s="609" t="s">
        <v>2559</v>
      </c>
    </row>
    <row r="231" spans="1:28" ht="62.25" customHeight="1">
      <c r="A231" s="287" t="s">
        <v>2432</v>
      </c>
      <c r="B231" s="287" t="s">
        <v>145</v>
      </c>
      <c r="C231" s="286" t="s">
        <v>916</v>
      </c>
      <c r="D231" s="288" t="s">
        <v>2437</v>
      </c>
      <c r="E231" s="498" t="s">
        <v>314</v>
      </c>
      <c r="F231" s="266" t="s">
        <v>2436</v>
      </c>
      <c r="G231" s="485"/>
      <c r="H231" s="266" t="s">
        <v>2260</v>
      </c>
      <c r="I231" s="271" t="s">
        <v>190</v>
      </c>
      <c r="J231" s="286"/>
      <c r="K231" s="266" t="s">
        <v>3111</v>
      </c>
      <c r="L231" s="391">
        <v>3975</v>
      </c>
      <c r="M231" s="391"/>
      <c r="N231" s="278">
        <f t="shared" si="25"/>
        <v>375443.93708777271</v>
      </c>
      <c r="O231" s="278">
        <f t="shared" si="23"/>
        <v>225266.36225266362</v>
      </c>
      <c r="P231" s="394">
        <v>74000</v>
      </c>
      <c r="Q231" s="539" t="s">
        <v>85</v>
      </c>
      <c r="R231" s="329" t="s">
        <v>163</v>
      </c>
      <c r="S231" s="260">
        <f t="shared" si="24"/>
        <v>659571.81310943537</v>
      </c>
      <c r="T231" s="286"/>
      <c r="U231" s="286"/>
      <c r="V231" s="321"/>
      <c r="W231" s="271" t="s">
        <v>1024</v>
      </c>
      <c r="X231" s="286"/>
      <c r="Y231" s="286"/>
      <c r="Z231" s="271"/>
      <c r="AA231" s="286"/>
      <c r="AB231" s="609" t="s">
        <v>3112</v>
      </c>
    </row>
    <row r="232" spans="1:28" ht="62.25" customHeight="1">
      <c r="A232" s="287" t="s">
        <v>2434</v>
      </c>
      <c r="B232" s="287" t="s">
        <v>145</v>
      </c>
      <c r="C232" s="286" t="s">
        <v>916</v>
      </c>
      <c r="D232" s="288" t="s">
        <v>2438</v>
      </c>
      <c r="E232" s="498" t="s">
        <v>314</v>
      </c>
      <c r="F232" s="266" t="s">
        <v>2436</v>
      </c>
      <c r="G232" s="485"/>
      <c r="H232" s="266" t="s">
        <v>2260</v>
      </c>
      <c r="I232" s="271" t="s">
        <v>190</v>
      </c>
      <c r="J232" s="286"/>
      <c r="K232" s="266" t="s">
        <v>3113</v>
      </c>
      <c r="L232" s="391">
        <v>4100</v>
      </c>
      <c r="M232" s="391"/>
      <c r="N232" s="278">
        <f t="shared" si="25"/>
        <v>385591.07052257739</v>
      </c>
      <c r="O232" s="278">
        <f t="shared" si="23"/>
        <v>231354.64231354641</v>
      </c>
      <c r="P232" s="394">
        <v>76000</v>
      </c>
      <c r="Q232" s="539" t="s">
        <v>85</v>
      </c>
      <c r="R232" s="329" t="s">
        <v>163</v>
      </c>
      <c r="S232" s="260">
        <f t="shared" si="24"/>
        <v>677398.07832860935</v>
      </c>
      <c r="T232" s="286"/>
      <c r="U232" s="286"/>
      <c r="V232" s="321"/>
      <c r="W232" s="271" t="s">
        <v>1024</v>
      </c>
      <c r="X232" s="286"/>
      <c r="Y232" s="286"/>
      <c r="Z232" s="271"/>
      <c r="AA232" s="286"/>
      <c r="AB232" s="609" t="s">
        <v>2562</v>
      </c>
    </row>
    <row r="233" spans="1:28" ht="62.25" customHeight="1">
      <c r="A233" s="287" t="s">
        <v>2433</v>
      </c>
      <c r="B233" s="287" t="s">
        <v>145</v>
      </c>
      <c r="C233" s="286" t="s">
        <v>916</v>
      </c>
      <c r="D233" s="288" t="s">
        <v>2438</v>
      </c>
      <c r="E233" s="498" t="s">
        <v>314</v>
      </c>
      <c r="F233" s="266" t="s">
        <v>2436</v>
      </c>
      <c r="G233" s="485"/>
      <c r="H233" s="266" t="s">
        <v>2260</v>
      </c>
      <c r="I233" s="271" t="s">
        <v>190</v>
      </c>
      <c r="J233" s="286"/>
      <c r="K233" s="266" t="s">
        <v>3113</v>
      </c>
      <c r="L233" s="391">
        <v>4500</v>
      </c>
      <c r="M233" s="391"/>
      <c r="N233" s="278">
        <f t="shared" si="25"/>
        <v>426179.60426179605</v>
      </c>
      <c r="O233" s="278">
        <f t="shared" si="23"/>
        <v>255707.76255707763</v>
      </c>
      <c r="P233" s="394">
        <v>84000</v>
      </c>
      <c r="Q233" s="539" t="s">
        <v>85</v>
      </c>
      <c r="R233" s="329" t="s">
        <v>163</v>
      </c>
      <c r="S233" s="260">
        <f t="shared" si="24"/>
        <v>748703.13920530514</v>
      </c>
      <c r="T233" s="286"/>
      <c r="U233" s="286"/>
      <c r="V233" s="321"/>
      <c r="W233" s="271" t="s">
        <v>1024</v>
      </c>
      <c r="X233" s="286"/>
      <c r="Y233" s="286"/>
      <c r="Z233" s="271"/>
      <c r="AA233" s="286"/>
      <c r="AB233" s="609" t="s">
        <v>2562</v>
      </c>
    </row>
    <row r="234" spans="1:28" ht="62.25" customHeight="1">
      <c r="A234" s="287" t="s">
        <v>2435</v>
      </c>
      <c r="B234" s="287" t="s">
        <v>145</v>
      </c>
      <c r="C234" s="286" t="s">
        <v>916</v>
      </c>
      <c r="D234" s="288" t="s">
        <v>2439</v>
      </c>
      <c r="E234" s="498" t="s">
        <v>314</v>
      </c>
      <c r="F234" s="266" t="s">
        <v>2436</v>
      </c>
      <c r="G234" s="485"/>
      <c r="H234" s="266" t="s">
        <v>2260</v>
      </c>
      <c r="I234" s="271" t="s">
        <v>190</v>
      </c>
      <c r="J234" s="286"/>
      <c r="K234" s="266" t="s">
        <v>3113</v>
      </c>
      <c r="L234" s="391">
        <v>3600</v>
      </c>
      <c r="M234" s="391"/>
      <c r="N234" s="278">
        <f t="shared" si="25"/>
        <v>339928.97006595635</v>
      </c>
      <c r="O234" s="278">
        <f>P234/(0.001*365*0.9)</f>
        <v>203957.3820395738</v>
      </c>
      <c r="P234" s="394">
        <v>67000</v>
      </c>
      <c r="Q234" s="539" t="s">
        <v>85</v>
      </c>
      <c r="R234" s="329" t="s">
        <v>163</v>
      </c>
      <c r="S234" s="260">
        <f t="shared" si="24"/>
        <v>597179.88484232663</v>
      </c>
      <c r="T234" s="286"/>
      <c r="U234" s="286"/>
      <c r="V234" s="321"/>
      <c r="W234" s="271" t="s">
        <v>1024</v>
      </c>
      <c r="X234" s="286"/>
      <c r="Y234" s="286"/>
      <c r="Z234" s="271"/>
      <c r="AA234" s="286"/>
      <c r="AB234" s="609" t="s">
        <v>2562</v>
      </c>
    </row>
    <row r="235" spans="1:28" ht="62.25" customHeight="1">
      <c r="A235" s="265" t="s">
        <v>3131</v>
      </c>
      <c r="B235" s="287" t="s">
        <v>145</v>
      </c>
      <c r="C235" s="286" t="s">
        <v>916</v>
      </c>
      <c r="D235" s="288" t="s">
        <v>3132</v>
      </c>
      <c r="E235" s="498" t="s">
        <v>314</v>
      </c>
      <c r="F235" s="286"/>
      <c r="G235" s="485"/>
      <c r="H235" s="266" t="s">
        <v>2928</v>
      </c>
      <c r="I235" s="710" t="s">
        <v>2929</v>
      </c>
      <c r="J235" s="286"/>
      <c r="K235" s="710" t="s">
        <v>3133</v>
      </c>
      <c r="L235" s="728">
        <v>3000</v>
      </c>
      <c r="M235" s="510"/>
      <c r="N235" s="748">
        <f>135*60*24</f>
        <v>194400</v>
      </c>
      <c r="O235" s="748">
        <f>N235*0.6</f>
        <v>116640</v>
      </c>
      <c r="P235" s="748">
        <f>O235*0.3285</f>
        <v>38316.240000000005</v>
      </c>
      <c r="Q235" s="287" t="s">
        <v>168</v>
      </c>
      <c r="R235" s="485"/>
      <c r="S235" s="510"/>
      <c r="T235" s="286"/>
      <c r="U235" s="286"/>
      <c r="V235" s="510"/>
      <c r="W235" s="286"/>
      <c r="X235" s="286"/>
      <c r="Y235" s="286"/>
      <c r="Z235" s="286"/>
      <c r="AA235" s="286"/>
      <c r="AB235" s="609" t="s">
        <v>2927</v>
      </c>
    </row>
    <row r="236" spans="1:28" ht="62.45" customHeight="1">
      <c r="A236" s="635" t="s">
        <v>2591</v>
      </c>
      <c r="B236" s="635" t="s">
        <v>145</v>
      </c>
      <c r="C236" s="609" t="s">
        <v>916</v>
      </c>
      <c r="D236" s="692" t="s">
        <v>1825</v>
      </c>
      <c r="E236" s="1439" t="s">
        <v>225</v>
      </c>
      <c r="F236" s="266" t="s">
        <v>2570</v>
      </c>
      <c r="G236" s="485"/>
      <c r="H236" s="266" t="s">
        <v>1447</v>
      </c>
      <c r="I236" s="609"/>
      <c r="J236" s="609" t="s">
        <v>190</v>
      </c>
      <c r="K236" s="266" t="s">
        <v>1500</v>
      </c>
      <c r="L236" s="321">
        <v>2000</v>
      </c>
      <c r="M236" s="321" t="s">
        <v>2571</v>
      </c>
      <c r="N236" s="278">
        <f>(O236/6)*10</f>
        <v>488888.88888888882</v>
      </c>
      <c r="O236" s="278">
        <f>P236/(0.001*365*0.9)</f>
        <v>293333.33333333331</v>
      </c>
      <c r="P236" s="275">
        <f>264*365</f>
        <v>96360</v>
      </c>
      <c r="Q236" s="374" t="s">
        <v>85</v>
      </c>
      <c r="R236" s="1286"/>
      <c r="S236" s="337">
        <f>P236/0.112194</f>
        <v>858869.45825979998</v>
      </c>
      <c r="T236" s="609"/>
      <c r="U236" s="609"/>
      <c r="V236" s="646"/>
      <c r="W236" s="609"/>
      <c r="X236" s="609"/>
      <c r="Y236" s="609"/>
      <c r="Z236" s="609"/>
      <c r="AA236" s="609"/>
      <c r="AB236" s="609" t="s">
        <v>2605</v>
      </c>
    </row>
    <row r="237" spans="1:28" ht="49.5" customHeight="1">
      <c r="A237" s="828" t="s">
        <v>2923</v>
      </c>
      <c r="B237" s="360" t="s">
        <v>145</v>
      </c>
      <c r="C237" s="249" t="s">
        <v>1110</v>
      </c>
      <c r="D237" s="475" t="s">
        <v>2383</v>
      </c>
      <c r="E237" s="491" t="s">
        <v>763</v>
      </c>
      <c r="F237" s="239"/>
      <c r="G237" s="762" t="s">
        <v>3016</v>
      </c>
      <c r="H237" s="762" t="s">
        <v>2617</v>
      </c>
      <c r="I237" s="249"/>
      <c r="J237" s="710" t="s">
        <v>2924</v>
      </c>
      <c r="K237" s="762" t="s">
        <v>3019</v>
      </c>
      <c r="L237" s="762" t="s">
        <v>3017</v>
      </c>
      <c r="M237" s="762" t="s">
        <v>3018</v>
      </c>
      <c r="N237" s="248"/>
      <c r="O237" s="1249"/>
      <c r="P237" s="803">
        <v>200000</v>
      </c>
      <c r="Q237" s="360" t="s">
        <v>53</v>
      </c>
      <c r="R237" s="538"/>
      <c r="S237" s="250"/>
      <c r="T237" s="340"/>
      <c r="U237" s="1266" t="s">
        <v>3020</v>
      </c>
      <c r="V237" s="561"/>
      <c r="W237" s="249"/>
      <c r="X237" s="366"/>
      <c r="Y237" s="249"/>
      <c r="Z237" s="249"/>
      <c r="AA237" s="239"/>
      <c r="AB237" s="1142" t="s">
        <v>3021</v>
      </c>
    </row>
    <row r="238" spans="1:28" ht="49.5" customHeight="1">
      <c r="A238" s="828" t="s">
        <v>3048</v>
      </c>
      <c r="B238" s="360" t="s">
        <v>145</v>
      </c>
      <c r="C238" s="249" t="s">
        <v>916</v>
      </c>
      <c r="D238" s="475" t="s">
        <v>773</v>
      </c>
      <c r="E238" s="491" t="s">
        <v>528</v>
      </c>
      <c r="F238" s="711">
        <v>45139</v>
      </c>
      <c r="G238" s="726" t="s">
        <v>3051</v>
      </c>
      <c r="H238" s="485" t="s">
        <v>3050</v>
      </c>
      <c r="I238" s="485"/>
      <c r="J238" s="286"/>
      <c r="K238" s="743" t="s">
        <v>3052</v>
      </c>
      <c r="L238" s="485"/>
      <c r="M238" s="485"/>
      <c r="N238" s="486"/>
      <c r="O238" s="1020"/>
      <c r="P238" s="661" t="s">
        <v>2820</v>
      </c>
      <c r="Q238" s="287" t="s">
        <v>168</v>
      </c>
      <c r="R238" s="662"/>
      <c r="S238" s="510"/>
      <c r="T238" s="671"/>
      <c r="U238" s="671"/>
      <c r="V238" s="1019"/>
      <c r="W238" s="485"/>
      <c r="X238" s="495"/>
      <c r="Y238" s="485"/>
      <c r="Z238" s="485"/>
      <c r="AA238" s="286"/>
      <c r="AB238" s="1149" t="s">
        <v>3049</v>
      </c>
    </row>
    <row r="239" spans="1:28" ht="62.45" customHeight="1">
      <c r="A239" s="265" t="s">
        <v>2803</v>
      </c>
      <c r="B239" s="241" t="s">
        <v>145</v>
      </c>
      <c r="C239" s="638" t="s">
        <v>916</v>
      </c>
      <c r="D239" s="651" t="s">
        <v>100</v>
      </c>
      <c r="E239" s="652" t="s">
        <v>528</v>
      </c>
      <c r="F239" s="266">
        <v>2022</v>
      </c>
      <c r="G239" s="372">
        <v>2023</v>
      </c>
      <c r="H239" s="266" t="s">
        <v>2847</v>
      </c>
      <c r="I239" s="609"/>
      <c r="J239" s="609"/>
      <c r="K239" s="266" t="s">
        <v>2848</v>
      </c>
      <c r="L239" s="510"/>
      <c r="M239" s="510"/>
      <c r="N239" s="661"/>
      <c r="O239" s="661"/>
      <c r="P239" s="661" t="s">
        <v>2820</v>
      </c>
      <c r="Q239" s="287" t="s">
        <v>168</v>
      </c>
      <c r="R239" s="655"/>
      <c r="S239" s="563"/>
      <c r="T239" s="638"/>
      <c r="U239" s="638"/>
      <c r="V239" s="654"/>
      <c r="W239" s="638"/>
      <c r="X239" s="638"/>
      <c r="Y239" s="609"/>
      <c r="Z239" s="609"/>
      <c r="AA239" s="638"/>
      <c r="AB239" s="1142" t="s">
        <v>2846</v>
      </c>
    </row>
    <row r="240" spans="1:28" ht="73.5" customHeight="1">
      <c r="A240" s="360" t="s">
        <v>1512</v>
      </c>
      <c r="B240" s="360" t="s">
        <v>145</v>
      </c>
      <c r="C240" s="249" t="s">
        <v>1026</v>
      </c>
      <c r="D240" s="475" t="s">
        <v>1157</v>
      </c>
      <c r="E240" s="491" t="s">
        <v>1508</v>
      </c>
      <c r="F240" s="239" t="s">
        <v>1513</v>
      </c>
      <c r="G240" s="485"/>
      <c r="H240" s="249" t="s">
        <v>1514</v>
      </c>
      <c r="I240" s="285" t="s">
        <v>1515</v>
      </c>
      <c r="J240" s="285" t="s">
        <v>1516</v>
      </c>
      <c r="K240" s="285" t="s">
        <v>1517</v>
      </c>
      <c r="L240" s="285" t="s">
        <v>1518</v>
      </c>
      <c r="M240" s="285" t="s">
        <v>1519</v>
      </c>
      <c r="N240" s="347">
        <v>515800</v>
      </c>
      <c r="O240" s="278">
        <f>N240*0.6</f>
        <v>309480</v>
      </c>
      <c r="P240" s="278">
        <f>O240*(0.001*365*0.9)</f>
        <v>101664.18000000001</v>
      </c>
      <c r="Q240" s="242" t="s">
        <v>85</v>
      </c>
      <c r="R240" s="490"/>
      <c r="S240" s="260">
        <f>P240/0.112194</f>
        <v>906146.31798491906</v>
      </c>
      <c r="T240" s="363"/>
      <c r="U240" s="300" t="s">
        <v>1520</v>
      </c>
      <c r="V240" s="307">
        <v>16784</v>
      </c>
      <c r="W240" s="357" t="s">
        <v>1521</v>
      </c>
      <c r="X240" s="357" t="s">
        <v>277</v>
      </c>
      <c r="Y240" s="383"/>
      <c r="Z240" s="383"/>
      <c r="AA240" s="357" t="s">
        <v>30</v>
      </c>
      <c r="AB240" s="239" t="s">
        <v>1511</v>
      </c>
    </row>
    <row r="241" spans="1:28" ht="112.5" customHeight="1">
      <c r="A241" s="287" t="s">
        <v>2452</v>
      </c>
      <c r="B241" s="287" t="s">
        <v>145</v>
      </c>
      <c r="C241" s="286" t="s">
        <v>916</v>
      </c>
      <c r="D241" s="288" t="s">
        <v>1507</v>
      </c>
      <c r="E241" s="498" t="s">
        <v>528</v>
      </c>
      <c r="F241" s="286">
        <v>2022</v>
      </c>
      <c r="G241" s="286"/>
      <c r="H241" s="258" t="s">
        <v>2453</v>
      </c>
      <c r="I241" s="286"/>
      <c r="J241" s="286"/>
      <c r="K241" s="258" t="s">
        <v>2576</v>
      </c>
      <c r="L241" s="305" t="s">
        <v>2578</v>
      </c>
      <c r="M241" s="510"/>
      <c r="N241" s="304">
        <v>1100000</v>
      </c>
      <c r="O241" s="278">
        <f>N241*0.6</f>
        <v>660000</v>
      </c>
      <c r="P241" s="278">
        <f>O241*0.001*365*0.9</f>
        <v>216810</v>
      </c>
      <c r="Q241" s="274" t="s">
        <v>85</v>
      </c>
      <c r="R241" s="657"/>
      <c r="S241" s="260">
        <f>P241/0.112194</f>
        <v>1932456.2810845498</v>
      </c>
      <c r="T241" s="485"/>
      <c r="U241" s="678"/>
      <c r="V241" s="657"/>
      <c r="W241" s="485"/>
      <c r="X241" s="308"/>
      <c r="Y241" s="485"/>
      <c r="Z241" s="485"/>
      <c r="AA241" s="485"/>
      <c r="AB241" s="609" t="s">
        <v>2577</v>
      </c>
    </row>
    <row r="242" spans="1:28" ht="112.5" customHeight="1">
      <c r="A242" s="287" t="s">
        <v>2533</v>
      </c>
      <c r="B242" s="287" t="s">
        <v>145</v>
      </c>
      <c r="C242" s="286" t="s">
        <v>916</v>
      </c>
      <c r="D242" s="288" t="s">
        <v>3117</v>
      </c>
      <c r="E242" s="498" t="s">
        <v>528</v>
      </c>
      <c r="F242" s="286" t="s">
        <v>3115</v>
      </c>
      <c r="G242" s="286"/>
      <c r="H242" s="258" t="s">
        <v>2480</v>
      </c>
      <c r="I242" s="286"/>
      <c r="J242" s="286"/>
      <c r="K242" s="258" t="s">
        <v>3114</v>
      </c>
      <c r="L242" s="510"/>
      <c r="M242" s="510"/>
      <c r="N242" s="304">
        <f>300*60*24*2</f>
        <v>864000</v>
      </c>
      <c r="O242" s="1267">
        <f>N242*0.6</f>
        <v>518400</v>
      </c>
      <c r="P242" s="278">
        <f>O242*0.001*365*0.9</f>
        <v>170294.39999999999</v>
      </c>
      <c r="Q242" s="274" t="s">
        <v>85</v>
      </c>
      <c r="R242" s="657"/>
      <c r="S242" s="278">
        <f>P242/0.112194</f>
        <v>1517856.5698700463</v>
      </c>
      <c r="T242" s="485"/>
      <c r="U242" s="678"/>
      <c r="V242" s="657"/>
      <c r="W242" s="485"/>
      <c r="X242" s="308"/>
      <c r="Y242" s="485"/>
      <c r="Z242" s="485"/>
      <c r="AA242" s="485"/>
      <c r="AB242" s="609" t="s">
        <v>3116</v>
      </c>
    </row>
    <row r="243" spans="1:28" ht="112.5" customHeight="1">
      <c r="A243" s="265" t="s">
        <v>3134</v>
      </c>
      <c r="B243" s="241" t="s">
        <v>145</v>
      </c>
      <c r="C243" s="286" t="s">
        <v>916</v>
      </c>
      <c r="D243" s="288" t="s">
        <v>2219</v>
      </c>
      <c r="E243" s="498" t="s">
        <v>1186</v>
      </c>
      <c r="F243" s="286"/>
      <c r="G243" s="286"/>
      <c r="H243" s="710" t="s">
        <v>2829</v>
      </c>
      <c r="I243" s="782" t="s">
        <v>116</v>
      </c>
      <c r="J243" s="286"/>
      <c r="K243" s="710" t="s">
        <v>2850</v>
      </c>
      <c r="L243" s="728">
        <v>5000</v>
      </c>
      <c r="M243" s="510"/>
      <c r="N243" s="661"/>
      <c r="O243" s="661"/>
      <c r="P243" s="732">
        <v>167900</v>
      </c>
      <c r="Q243" s="783" t="s">
        <v>85</v>
      </c>
      <c r="R243" s="657"/>
      <c r="S243" s="510"/>
      <c r="T243" s="485"/>
      <c r="U243" s="678"/>
      <c r="V243" s="661">
        <v>46917.332403090601</v>
      </c>
      <c r="W243" s="485"/>
      <c r="X243" s="308"/>
      <c r="Y243" s="485"/>
      <c r="Z243" s="485"/>
      <c r="AA243" s="485"/>
      <c r="AB243" s="609" t="s">
        <v>2849</v>
      </c>
    </row>
    <row r="244" spans="1:28" ht="112.5" customHeight="1">
      <c r="A244" s="265" t="s">
        <v>2804</v>
      </c>
      <c r="B244" s="241" t="s">
        <v>145</v>
      </c>
      <c r="C244" s="286" t="s">
        <v>916</v>
      </c>
      <c r="D244" s="288" t="s">
        <v>1527</v>
      </c>
      <c r="E244" s="498" t="s">
        <v>1186</v>
      </c>
      <c r="F244" s="286"/>
      <c r="G244" s="286"/>
      <c r="H244" s="710" t="s">
        <v>2829</v>
      </c>
      <c r="I244" s="286"/>
      <c r="J244" s="286"/>
      <c r="K244" s="710" t="s">
        <v>2851</v>
      </c>
      <c r="L244" s="728">
        <v>5000</v>
      </c>
      <c r="M244" s="510"/>
      <c r="N244" s="661"/>
      <c r="O244" s="661"/>
      <c r="P244" s="732">
        <v>165710</v>
      </c>
      <c r="Q244" s="777" t="s">
        <v>85</v>
      </c>
      <c r="R244" s="657"/>
      <c r="S244" s="510"/>
      <c r="T244" s="485"/>
      <c r="U244" s="678"/>
      <c r="V244" s="657"/>
      <c r="W244" s="485"/>
      <c r="X244" s="308"/>
      <c r="Y244" s="485"/>
      <c r="Z244" s="485"/>
      <c r="AA244" s="485"/>
      <c r="AB244" s="609" t="s">
        <v>2849</v>
      </c>
    </row>
    <row r="245" spans="1:28" ht="112.5" customHeight="1">
      <c r="A245" s="484" t="s">
        <v>2358</v>
      </c>
      <c r="B245" s="484" t="s">
        <v>145</v>
      </c>
      <c r="C245" s="485" t="s">
        <v>916</v>
      </c>
      <c r="D245" s="288" t="s">
        <v>1527</v>
      </c>
      <c r="E245" s="289" t="s">
        <v>1186</v>
      </c>
      <c r="F245" s="286"/>
      <c r="G245" s="485"/>
      <c r="H245" s="266" t="s">
        <v>2210</v>
      </c>
      <c r="I245" s="485"/>
      <c r="J245" s="485"/>
      <c r="K245" s="372" t="s">
        <v>2221</v>
      </c>
      <c r="L245" s="269">
        <v>7000</v>
      </c>
      <c r="M245" s="269" t="s">
        <v>2222</v>
      </c>
      <c r="N245" s="278">
        <f>O245/0.6</f>
        <v>194444.44444444444</v>
      </c>
      <c r="O245" s="278">
        <f>P245/(0.001*365*0.9)</f>
        <v>116666.66666666666</v>
      </c>
      <c r="P245" s="275">
        <v>38325</v>
      </c>
      <c r="Q245" s="284" t="s">
        <v>85</v>
      </c>
      <c r="R245" s="901"/>
      <c r="S245" s="260">
        <f>P245/0.112194</f>
        <v>341595.80726242042</v>
      </c>
      <c r="T245" s="286"/>
      <c r="U245" s="286"/>
      <c r="V245" s="553">
        <v>44233</v>
      </c>
      <c r="W245" s="266" t="s">
        <v>1453</v>
      </c>
      <c r="X245" s="499"/>
      <c r="Y245" s="499"/>
      <c r="Z245" s="499"/>
      <c r="AA245" s="499"/>
      <c r="AB245" s="609" t="s">
        <v>2243</v>
      </c>
    </row>
    <row r="246" spans="1:28" ht="73.5" customHeight="1">
      <c r="A246" s="484" t="s">
        <v>2357</v>
      </c>
      <c r="B246" s="484" t="s">
        <v>145</v>
      </c>
      <c r="C246" s="485" t="s">
        <v>916</v>
      </c>
      <c r="D246" s="288" t="s">
        <v>2219</v>
      </c>
      <c r="E246" s="289" t="s">
        <v>1186</v>
      </c>
      <c r="F246" s="286"/>
      <c r="G246" s="485"/>
      <c r="H246" s="266" t="s">
        <v>2210</v>
      </c>
      <c r="I246" s="485"/>
      <c r="J246" s="485"/>
      <c r="K246" s="372" t="s">
        <v>2223</v>
      </c>
      <c r="L246" s="269">
        <v>3200</v>
      </c>
      <c r="M246" s="269" t="s">
        <v>2218</v>
      </c>
      <c r="N246" s="278">
        <f>O246/0.6</f>
        <v>407407.40740740742</v>
      </c>
      <c r="O246" s="278">
        <f>P246/(0.001*365*0.9)</f>
        <v>244444.44444444444</v>
      </c>
      <c r="P246" s="275">
        <v>80300</v>
      </c>
      <c r="Q246" s="284" t="s">
        <v>85</v>
      </c>
      <c r="R246" s="923"/>
      <c r="S246" s="260">
        <f>P246/0.112194</f>
        <v>715724.54854983336</v>
      </c>
      <c r="T246" s="554"/>
      <c r="U246" s="300"/>
      <c r="V246" s="553">
        <v>24690</v>
      </c>
      <c r="W246" s="266" t="s">
        <v>1024</v>
      </c>
      <c r="X246" s="499"/>
      <c r="Y246" s="499"/>
      <c r="Z246" s="499"/>
      <c r="AA246" s="499"/>
      <c r="AB246" s="609" t="s">
        <v>2220</v>
      </c>
    </row>
    <row r="247" spans="1:28" ht="73.5" customHeight="1">
      <c r="A247" s="287" t="s">
        <v>1529</v>
      </c>
      <c r="B247" s="287" t="s">
        <v>145</v>
      </c>
      <c r="C247" s="286" t="s">
        <v>1110</v>
      </c>
      <c r="D247" s="288" t="s">
        <v>3135</v>
      </c>
      <c r="E247" s="498" t="s">
        <v>1531</v>
      </c>
      <c r="F247" s="286"/>
      <c r="G247" s="286"/>
      <c r="H247" s="266" t="s">
        <v>1143</v>
      </c>
      <c r="I247" s="461" t="s">
        <v>924</v>
      </c>
      <c r="J247" s="286"/>
      <c r="K247" s="318" t="s">
        <v>1532</v>
      </c>
      <c r="L247" s="510"/>
      <c r="M247" s="286"/>
      <c r="N247" s="278">
        <f>O247/0.6</f>
        <v>1141552.5114155251</v>
      </c>
      <c r="O247" s="278">
        <f>P247/(0.001*365*0.9)</f>
        <v>684931.50684931502</v>
      </c>
      <c r="P247" s="273">
        <v>225000</v>
      </c>
      <c r="Q247" s="558" t="s">
        <v>85</v>
      </c>
      <c r="R247" s="662"/>
      <c r="S247" s="260">
        <f>P247/0.112194</f>
        <v>2005454.8371570671</v>
      </c>
      <c r="T247" s="286"/>
      <c r="U247" s="286"/>
      <c r="V247" s="273">
        <v>103000</v>
      </c>
      <c r="W247" s="266" t="s">
        <v>1173</v>
      </c>
      <c r="X247" s="286"/>
      <c r="Y247" s="286"/>
      <c r="Z247" s="286"/>
      <c r="AA247" s="308"/>
      <c r="AB247" s="609" t="s">
        <v>2567</v>
      </c>
    </row>
    <row r="248" spans="1:28" ht="33" customHeight="1">
      <c r="A248" s="484" t="s">
        <v>2930</v>
      </c>
      <c r="B248" s="484" t="s">
        <v>145</v>
      </c>
      <c r="C248" s="485" t="s">
        <v>2590</v>
      </c>
      <c r="D248" s="288" t="s">
        <v>1221</v>
      </c>
      <c r="E248" s="289" t="s">
        <v>148</v>
      </c>
      <c r="F248" s="286" t="s">
        <v>805</v>
      </c>
      <c r="G248" s="485"/>
      <c r="H248" s="485" t="s">
        <v>2589</v>
      </c>
      <c r="I248" s="485"/>
      <c r="J248" s="485"/>
      <c r="K248" s="743" t="s">
        <v>3030</v>
      </c>
      <c r="L248" s="485"/>
      <c r="M248" s="485"/>
      <c r="N248" s="661">
        <f>O248/0.6</f>
        <v>4566210.0456621004</v>
      </c>
      <c r="O248" s="661">
        <f>P248/(0.001*365*0.9)</f>
        <v>2739726.0273972601</v>
      </c>
      <c r="P248" s="732">
        <v>900000</v>
      </c>
      <c r="Q248" s="731" t="s">
        <v>85</v>
      </c>
      <c r="R248" s="901"/>
      <c r="S248" s="510">
        <f>P248/0.112194</f>
        <v>8021819.3486282686</v>
      </c>
      <c r="T248" s="286"/>
      <c r="U248" s="286"/>
      <c r="V248" s="510"/>
      <c r="W248" s="499"/>
      <c r="X248" s="499"/>
      <c r="Y248" s="499"/>
      <c r="Z248" s="499"/>
      <c r="AA248" s="499"/>
      <c r="AB248" s="1286" t="s">
        <v>3029</v>
      </c>
    </row>
    <row r="249" spans="1:28" ht="73.5" customHeight="1">
      <c r="A249" s="265" t="s">
        <v>2805</v>
      </c>
      <c r="B249" s="241" t="s">
        <v>145</v>
      </c>
      <c r="C249" s="485" t="s">
        <v>2853</v>
      </c>
      <c r="D249" s="288" t="s">
        <v>838</v>
      </c>
      <c r="E249" s="376" t="s">
        <v>148</v>
      </c>
      <c r="F249" s="710">
        <v>2023</v>
      </c>
      <c r="G249" s="485"/>
      <c r="H249" s="485" t="s">
        <v>2683</v>
      </c>
      <c r="I249" s="485" t="s">
        <v>2860</v>
      </c>
      <c r="J249" s="485"/>
      <c r="K249" s="743" t="s">
        <v>2854</v>
      </c>
      <c r="L249" s="485"/>
      <c r="M249" s="485"/>
      <c r="N249" s="661"/>
      <c r="O249" s="661"/>
      <c r="P249" s="732" t="s">
        <v>2855</v>
      </c>
      <c r="Q249" s="731" t="s">
        <v>85</v>
      </c>
      <c r="R249" s="901"/>
      <c r="S249" s="510"/>
      <c r="T249" s="286"/>
      <c r="U249" s="286"/>
      <c r="V249" s="510"/>
      <c r="W249" s="499"/>
      <c r="X249" s="499"/>
      <c r="Y249" s="499"/>
      <c r="Z249" s="712"/>
      <c r="AA249" s="499"/>
      <c r="AB249" s="1142" t="s">
        <v>2852</v>
      </c>
    </row>
    <row r="250" spans="1:28" ht="73.5" customHeight="1">
      <c r="A250" s="265" t="s">
        <v>2806</v>
      </c>
      <c r="B250" s="241" t="s">
        <v>145</v>
      </c>
      <c r="C250" s="485" t="s">
        <v>916</v>
      </c>
      <c r="D250" s="288" t="s">
        <v>2956</v>
      </c>
      <c r="E250" s="376" t="s">
        <v>155</v>
      </c>
      <c r="F250" s="286"/>
      <c r="G250" s="485"/>
      <c r="H250" s="485" t="s">
        <v>2858</v>
      </c>
      <c r="I250" s="485"/>
      <c r="J250" s="485"/>
      <c r="K250" s="743" t="s">
        <v>2861</v>
      </c>
      <c r="L250" s="726" t="s">
        <v>2859</v>
      </c>
      <c r="M250" s="485"/>
      <c r="N250" s="661"/>
      <c r="O250" s="661"/>
      <c r="P250" s="661" t="s">
        <v>2820</v>
      </c>
      <c r="Q250" s="287"/>
      <c r="R250" s="901"/>
      <c r="S250" s="510"/>
      <c r="T250" s="286"/>
      <c r="U250" s="286"/>
      <c r="V250" s="728">
        <v>27000</v>
      </c>
      <c r="W250" s="499"/>
      <c r="X250" s="499"/>
      <c r="Y250" s="499"/>
      <c r="Z250" s="499"/>
      <c r="AA250" s="499"/>
      <c r="AB250" s="1149" t="s">
        <v>2862</v>
      </c>
    </row>
    <row r="251" spans="1:28" ht="73.5" customHeight="1">
      <c r="A251" s="800" t="s">
        <v>3136</v>
      </c>
      <c r="B251" s="287" t="s">
        <v>145</v>
      </c>
      <c r="C251" s="308" t="s">
        <v>916</v>
      </c>
      <c r="D251" s="511" t="s">
        <v>1535</v>
      </c>
      <c r="E251" s="512" t="s">
        <v>2931</v>
      </c>
      <c r="F251" s="286"/>
      <c r="G251" s="485"/>
      <c r="H251" s="266" t="s">
        <v>2928</v>
      </c>
      <c r="I251" s="710" t="s">
        <v>2929</v>
      </c>
      <c r="J251" s="286"/>
      <c r="K251" s="710" t="s">
        <v>3102</v>
      </c>
      <c r="L251" s="728">
        <v>4100</v>
      </c>
      <c r="M251" s="510"/>
      <c r="N251" s="748">
        <f>200*60*24</f>
        <v>288000</v>
      </c>
      <c r="O251" s="748">
        <f>N251*0.6</f>
        <v>172800</v>
      </c>
      <c r="P251" s="748">
        <f>O251*0.3285</f>
        <v>56764.800000000003</v>
      </c>
      <c r="Q251" s="419" t="s">
        <v>168</v>
      </c>
      <c r="R251" s="495"/>
      <c r="S251" s="666"/>
      <c r="T251" s="308"/>
      <c r="U251" s="308"/>
      <c r="V251" s="666"/>
      <c r="W251" s="308"/>
      <c r="X251" s="308"/>
      <c r="Y251" s="286"/>
      <c r="Z251" s="286"/>
      <c r="AA251" s="308"/>
      <c r="AB251" s="609" t="s">
        <v>2927</v>
      </c>
    </row>
    <row r="252" spans="1:28" ht="62.25" customHeight="1">
      <c r="A252" s="264" t="s">
        <v>2915</v>
      </c>
      <c r="B252" s="484" t="s">
        <v>145</v>
      </c>
      <c r="C252" s="485" t="s">
        <v>916</v>
      </c>
      <c r="D252" s="288" t="s">
        <v>2958</v>
      </c>
      <c r="E252" s="289" t="s">
        <v>155</v>
      </c>
      <c r="F252" s="286" t="s">
        <v>2917</v>
      </c>
      <c r="G252" s="726" t="s">
        <v>2916</v>
      </c>
      <c r="H252" s="743" t="s">
        <v>2918</v>
      </c>
      <c r="I252" s="485"/>
      <c r="J252" s="485"/>
      <c r="K252" s="372" t="s">
        <v>3145</v>
      </c>
      <c r="L252" s="661"/>
      <c r="M252" s="485"/>
      <c r="N252" s="661"/>
      <c r="O252" s="661"/>
      <c r="P252" s="732">
        <v>120000</v>
      </c>
      <c r="Q252" s="287"/>
      <c r="R252" s="901"/>
      <c r="S252" s="510"/>
      <c r="T252" s="286"/>
      <c r="U252" s="286"/>
      <c r="V252" s="510"/>
      <c r="W252" s="499"/>
      <c r="X252" s="499"/>
      <c r="Y252" s="499"/>
      <c r="Z252" s="499"/>
      <c r="AA252" s="499"/>
      <c r="AB252" s="1288" t="s">
        <v>3144</v>
      </c>
    </row>
    <row r="253" spans="1:28" ht="73.5" customHeight="1">
      <c r="A253" s="800" t="s">
        <v>3137</v>
      </c>
      <c r="B253" s="287" t="s">
        <v>145</v>
      </c>
      <c r="C253" s="308" t="s">
        <v>916</v>
      </c>
      <c r="D253" s="511" t="s">
        <v>1535</v>
      </c>
      <c r="E253" s="512" t="s">
        <v>2931</v>
      </c>
      <c r="F253" s="286"/>
      <c r="G253" s="485"/>
      <c r="H253" s="266" t="s">
        <v>2928</v>
      </c>
      <c r="I253" s="710" t="s">
        <v>2929</v>
      </c>
      <c r="J253" s="286"/>
      <c r="K253" s="710" t="s">
        <v>3103</v>
      </c>
      <c r="L253" s="728">
        <v>4100</v>
      </c>
      <c r="M253" s="510"/>
      <c r="N253" s="748">
        <f>200*60*24</f>
        <v>288000</v>
      </c>
      <c r="O253" s="748">
        <f>N253*0.6</f>
        <v>172800</v>
      </c>
      <c r="P253" s="748">
        <f>O253*0.3285</f>
        <v>56764.800000000003</v>
      </c>
      <c r="Q253" s="419" t="s">
        <v>168</v>
      </c>
      <c r="R253" s="495"/>
      <c r="S253" s="666"/>
      <c r="T253" s="308"/>
      <c r="U253" s="308"/>
      <c r="V253" s="666"/>
      <c r="W253" s="308"/>
      <c r="X253" s="308"/>
      <c r="Y253" s="286"/>
      <c r="Z253" s="286"/>
      <c r="AA253" s="308"/>
      <c r="AB253" s="609" t="s">
        <v>2927</v>
      </c>
    </row>
    <row r="254" spans="1:28" ht="62.25" customHeight="1">
      <c r="A254" s="800" t="s">
        <v>3138</v>
      </c>
      <c r="B254" s="287" t="s">
        <v>145</v>
      </c>
      <c r="C254" s="308" t="s">
        <v>916</v>
      </c>
      <c r="D254" s="511" t="s">
        <v>1239</v>
      </c>
      <c r="E254" s="512" t="s">
        <v>2931</v>
      </c>
      <c r="F254" s="286"/>
      <c r="G254" s="485"/>
      <c r="H254" s="266" t="s">
        <v>2928</v>
      </c>
      <c r="I254" s="710" t="s">
        <v>2929</v>
      </c>
      <c r="J254" s="286"/>
      <c r="K254" s="710" t="s">
        <v>3104</v>
      </c>
      <c r="L254" s="728">
        <v>7500</v>
      </c>
      <c r="M254" s="510"/>
      <c r="N254" s="748">
        <f>400*60*24</f>
        <v>576000</v>
      </c>
      <c r="O254" s="748">
        <f>N254*0.6</f>
        <v>345600</v>
      </c>
      <c r="P254" s="748">
        <f>O254*0.3285</f>
        <v>113529.60000000001</v>
      </c>
      <c r="Q254" s="419" t="s">
        <v>168</v>
      </c>
      <c r="R254" s="495"/>
      <c r="S254" s="666"/>
      <c r="T254" s="308"/>
      <c r="U254" s="308"/>
      <c r="V254" s="666"/>
      <c r="W254" s="308"/>
      <c r="X254" s="308"/>
      <c r="Y254" s="286"/>
      <c r="Z254" s="286"/>
      <c r="AA254" s="308"/>
      <c r="AB254" s="609" t="s">
        <v>2927</v>
      </c>
    </row>
    <row r="255" spans="1:28" ht="62.25" customHeight="1">
      <c r="A255" s="800" t="s">
        <v>3139</v>
      </c>
      <c r="B255" s="287" t="s">
        <v>145</v>
      </c>
      <c r="C255" s="308" t="s">
        <v>916</v>
      </c>
      <c r="D255" s="511" t="s">
        <v>1535</v>
      </c>
      <c r="E255" s="512" t="s">
        <v>2931</v>
      </c>
      <c r="F255" s="286"/>
      <c r="G255" s="485"/>
      <c r="H255" s="266" t="s">
        <v>2928</v>
      </c>
      <c r="I255" s="710" t="s">
        <v>2929</v>
      </c>
      <c r="J255" s="286"/>
      <c r="K255" s="710" t="s">
        <v>3105</v>
      </c>
      <c r="L255" s="728">
        <v>5000</v>
      </c>
      <c r="M255" s="510"/>
      <c r="N255" s="748">
        <f>300*60*24</f>
        <v>432000</v>
      </c>
      <c r="O255" s="748">
        <f>N255*0.6</f>
        <v>259200</v>
      </c>
      <c r="P255" s="748">
        <f>O255*0.3285</f>
        <v>85147.199999999997</v>
      </c>
      <c r="Q255" s="419" t="s">
        <v>168</v>
      </c>
      <c r="R255" s="495"/>
      <c r="S255" s="666"/>
      <c r="T255" s="308"/>
      <c r="U255" s="308"/>
      <c r="V255" s="666"/>
      <c r="W255" s="308"/>
      <c r="X255" s="308"/>
      <c r="Y255" s="286"/>
      <c r="Z255" s="286"/>
      <c r="AA255" s="308"/>
      <c r="AB255" s="1149" t="s">
        <v>2927</v>
      </c>
    </row>
    <row r="256" spans="1:28" ht="62.25" customHeight="1">
      <c r="A256" s="800" t="s">
        <v>3140</v>
      </c>
      <c r="B256" s="287" t="s">
        <v>145</v>
      </c>
      <c r="C256" s="308" t="s">
        <v>916</v>
      </c>
      <c r="D256" s="511" t="s">
        <v>1180</v>
      </c>
      <c r="E256" s="512" t="s">
        <v>2931</v>
      </c>
      <c r="F256" s="286"/>
      <c r="G256" s="743" t="s">
        <v>1542</v>
      </c>
      <c r="H256" s="266" t="s">
        <v>2928</v>
      </c>
      <c r="I256" s="710" t="s">
        <v>2929</v>
      </c>
      <c r="J256" s="286"/>
      <c r="K256" s="710" t="s">
        <v>3106</v>
      </c>
      <c r="L256" s="510"/>
      <c r="M256" s="510"/>
      <c r="N256" s="661"/>
      <c r="O256" s="661"/>
      <c r="P256" s="661" t="s">
        <v>2820</v>
      </c>
      <c r="Q256" s="419" t="s">
        <v>168</v>
      </c>
      <c r="R256" s="495"/>
      <c r="S256" s="666"/>
      <c r="T256" s="308"/>
      <c r="U256" s="308"/>
      <c r="V256" s="666"/>
      <c r="W256" s="308"/>
      <c r="X256" s="308"/>
      <c r="Y256" s="286"/>
      <c r="Z256" s="286"/>
      <c r="AA256" s="308"/>
      <c r="AB256" s="1142" t="s">
        <v>2932</v>
      </c>
    </row>
    <row r="257" spans="1:28" ht="62.25" customHeight="1">
      <c r="A257" s="765" t="s">
        <v>2808</v>
      </c>
      <c r="B257" s="484" t="s">
        <v>145</v>
      </c>
      <c r="C257" s="294" t="s">
        <v>916</v>
      </c>
      <c r="D257" s="294" t="s">
        <v>2468</v>
      </c>
      <c r="E257" s="822" t="s">
        <v>2462</v>
      </c>
      <c r="F257" s="286" t="s">
        <v>2463</v>
      </c>
      <c r="G257" s="485"/>
      <c r="H257" s="485" t="s">
        <v>2464</v>
      </c>
      <c r="I257" s="286"/>
      <c r="J257" s="286"/>
      <c r="K257" s="286" t="s">
        <v>3141</v>
      </c>
      <c r="L257" s="485">
        <v>6500</v>
      </c>
      <c r="M257" s="286"/>
      <c r="N257" s="661">
        <f>600*60*24</f>
        <v>864000</v>
      </c>
      <c r="O257" s="661">
        <f>N257*0.6</f>
        <v>518400</v>
      </c>
      <c r="P257" s="661">
        <f>O257*(0.001*365*0.9)</f>
        <v>170294.39999999999</v>
      </c>
      <c r="Q257" s="287" t="s">
        <v>85</v>
      </c>
      <c r="R257" s="294"/>
      <c r="S257" s="510">
        <f>P257/0.112194</f>
        <v>1517856.5698700463</v>
      </c>
      <c r="T257" s="294"/>
      <c r="U257" s="294"/>
      <c r="V257" s="294"/>
      <c r="W257" s="294"/>
      <c r="X257" s="294"/>
      <c r="Y257" s="294"/>
      <c r="Z257" s="294"/>
      <c r="AA257" s="294"/>
      <c r="AB257" s="609" t="s">
        <v>2467</v>
      </c>
    </row>
    <row r="258" spans="1:28" ht="23.1" customHeight="1">
      <c r="A258" s="1521" t="s">
        <v>3157</v>
      </c>
      <c r="B258" s="1522"/>
      <c r="C258" s="1522"/>
      <c r="D258" s="1522"/>
      <c r="E258" s="1522"/>
      <c r="F258" s="1522"/>
      <c r="G258" s="1522"/>
      <c r="H258" s="1522"/>
      <c r="I258" s="1522"/>
      <c r="J258" s="1522"/>
      <c r="K258" s="1522"/>
      <c r="L258" s="1522"/>
      <c r="M258" s="1522"/>
      <c r="N258" s="1522"/>
      <c r="O258" s="1522"/>
      <c r="P258" s="1522"/>
      <c r="Q258" s="1522"/>
      <c r="R258" s="1522"/>
      <c r="S258" s="1522"/>
      <c r="T258" s="1522"/>
      <c r="U258" s="1522"/>
      <c r="V258" s="1522"/>
      <c r="W258" s="1522"/>
      <c r="X258" s="1522"/>
      <c r="Y258" s="1522"/>
      <c r="Z258" s="1522"/>
      <c r="AA258" s="1522"/>
      <c r="AB258" s="1523"/>
    </row>
    <row r="259" spans="1:28" ht="18.600000000000001" customHeight="1">
      <c r="A259" s="360" t="s">
        <v>1594</v>
      </c>
      <c r="B259" s="241" t="s">
        <v>270</v>
      </c>
      <c r="C259" s="249" t="s">
        <v>916</v>
      </c>
      <c r="D259" s="492" t="s">
        <v>917</v>
      </c>
      <c r="E259" s="480" t="s">
        <v>918</v>
      </c>
      <c r="F259" s="249"/>
      <c r="G259" s="239"/>
      <c r="H259" s="239"/>
      <c r="I259" s="239"/>
      <c r="J259" s="239"/>
      <c r="K259" s="239" t="s">
        <v>1595</v>
      </c>
      <c r="L259" s="1268">
        <v>10000</v>
      </c>
      <c r="M259" s="239"/>
      <c r="N259" s="248"/>
      <c r="O259" s="552"/>
      <c r="P259" s="333"/>
      <c r="Q259" s="241" t="s">
        <v>85</v>
      </c>
      <c r="R259" s="249"/>
      <c r="S259" s="250"/>
      <c r="T259" s="340"/>
      <c r="U259" s="340"/>
      <c r="V259" s="561"/>
      <c r="W259" s="249"/>
      <c r="X259" s="249"/>
      <c r="Y259" s="249"/>
      <c r="Z259" s="249"/>
      <c r="AA259" s="239"/>
      <c r="AB259" s="239" t="s">
        <v>1593</v>
      </c>
    </row>
    <row r="260" spans="1:28" ht="49.7" customHeight="1">
      <c r="A260" s="241" t="s">
        <v>1567</v>
      </c>
      <c r="B260" s="313" t="s">
        <v>251</v>
      </c>
      <c r="C260" s="239" t="s">
        <v>916</v>
      </c>
      <c r="D260" s="475" t="s">
        <v>252</v>
      </c>
      <c r="E260" s="480" t="s">
        <v>35</v>
      </c>
      <c r="F260" s="1269">
        <v>43282</v>
      </c>
      <c r="G260" s="494" t="s">
        <v>1344</v>
      </c>
      <c r="H260" s="239" t="s">
        <v>951</v>
      </c>
      <c r="I260" s="239" t="s">
        <v>929</v>
      </c>
      <c r="J260" s="239" t="s">
        <v>924</v>
      </c>
      <c r="K260" s="239" t="s">
        <v>1568</v>
      </c>
      <c r="L260" s="239"/>
      <c r="M260" s="239"/>
      <c r="N260" s="278">
        <f>O260/0.6</f>
        <v>348127.71747283108</v>
      </c>
      <c r="O260" s="278">
        <f>P260/(0.001*365*0.9)</f>
        <v>208876.63048369862</v>
      </c>
      <c r="P260" s="278">
        <f>S260*0.112194</f>
        <v>68615.973113895001</v>
      </c>
      <c r="Q260" s="241" t="s">
        <v>85</v>
      </c>
      <c r="R260" s="490" t="s">
        <v>0</v>
      </c>
      <c r="S260" s="318">
        <f>5332025/10*1.147</f>
        <v>611583.26749999996</v>
      </c>
      <c r="T260" s="239"/>
      <c r="U260" s="239"/>
      <c r="V260" s="250">
        <v>34746</v>
      </c>
      <c r="W260" s="239"/>
      <c r="X260" s="239"/>
      <c r="Y260" s="239"/>
      <c r="Z260" s="239"/>
      <c r="AA260" s="239"/>
      <c r="AB260" s="239" t="s">
        <v>972</v>
      </c>
    </row>
    <row r="261" spans="1:28" ht="49.7" customHeight="1">
      <c r="A261" s="241" t="s">
        <v>1569</v>
      </c>
      <c r="B261" s="313" t="s">
        <v>251</v>
      </c>
      <c r="C261" s="239" t="s">
        <v>916</v>
      </c>
      <c r="D261" s="475" t="s">
        <v>965</v>
      </c>
      <c r="E261" s="480" t="s">
        <v>35</v>
      </c>
      <c r="F261" s="1269">
        <v>43282</v>
      </c>
      <c r="G261" s="900" t="s">
        <v>1340</v>
      </c>
      <c r="H261" s="239" t="s">
        <v>951</v>
      </c>
      <c r="I261" s="239" t="s">
        <v>929</v>
      </c>
      <c r="J261" s="239" t="s">
        <v>924</v>
      </c>
      <c r="K261" s="272" t="s">
        <v>1570</v>
      </c>
      <c r="L261" s="239"/>
      <c r="M261" s="239"/>
      <c r="N261" s="278">
        <f>O261/0.6</f>
        <v>130901.93704047491</v>
      </c>
      <c r="O261" s="278">
        <f>P261/(0.001*365*0.9)</f>
        <v>78541.162224284941</v>
      </c>
      <c r="P261" s="278">
        <f>S261*0.112194</f>
        <v>25800.771790677605</v>
      </c>
      <c r="Q261" s="241" t="s">
        <v>85</v>
      </c>
      <c r="R261" s="490" t="s">
        <v>0</v>
      </c>
      <c r="S261" s="460">
        <f>2004932/10*1.147</f>
        <v>229965.70040000003</v>
      </c>
      <c r="T261" s="239"/>
      <c r="U261" s="239"/>
      <c r="V261" s="433">
        <v>16970</v>
      </c>
      <c r="W261" s="239"/>
      <c r="X261" s="239"/>
      <c r="Y261" s="239"/>
      <c r="Z261" s="239"/>
      <c r="AA261" s="239"/>
      <c r="AB261" s="239" t="s">
        <v>972</v>
      </c>
    </row>
    <row r="262" spans="1:28" ht="45" customHeight="1">
      <c r="A262" s="241" t="s">
        <v>1361</v>
      </c>
      <c r="B262" s="241" t="s">
        <v>251</v>
      </c>
      <c r="C262" s="239" t="s">
        <v>916</v>
      </c>
      <c r="D262" s="475" t="s">
        <v>252</v>
      </c>
      <c r="E262" s="491" t="s">
        <v>35</v>
      </c>
      <c r="F262" s="249"/>
      <c r="G262" s="239"/>
      <c r="H262" s="272" t="s">
        <v>1008</v>
      </c>
      <c r="I262" s="272" t="s">
        <v>924</v>
      </c>
      <c r="J262" s="239"/>
      <c r="K262" s="272" t="s">
        <v>1362</v>
      </c>
      <c r="L262" s="244"/>
      <c r="M262" s="244"/>
      <c r="N262" s="248"/>
      <c r="O262" s="1249"/>
      <c r="P262" s="345"/>
      <c r="Q262" s="280" t="s">
        <v>85</v>
      </c>
      <c r="R262" s="268" t="s">
        <v>163</v>
      </c>
      <c r="S262" s="291"/>
      <c r="T262" s="290"/>
      <c r="U262" s="292"/>
      <c r="V262" s="273">
        <v>8220</v>
      </c>
      <c r="W262" s="290"/>
      <c r="X262" s="290"/>
      <c r="Y262" s="290"/>
      <c r="Z262" s="290"/>
      <c r="AA262" s="249"/>
      <c r="AB262" s="239" t="s">
        <v>1005</v>
      </c>
    </row>
    <row r="263" spans="1:28" ht="51" customHeight="1">
      <c r="A263" s="241" t="s">
        <v>1597</v>
      </c>
      <c r="B263" s="241" t="s">
        <v>261</v>
      </c>
      <c r="C263" s="239" t="s">
        <v>1598</v>
      </c>
      <c r="D263" s="492" t="s">
        <v>1599</v>
      </c>
      <c r="E263" s="480" t="s">
        <v>221</v>
      </c>
      <c r="F263" s="249">
        <v>2006</v>
      </c>
      <c r="G263" s="239"/>
      <c r="H263" s="239" t="s">
        <v>1600</v>
      </c>
      <c r="I263" s="239"/>
      <c r="J263" s="239"/>
      <c r="K263" s="239" t="s">
        <v>1601</v>
      </c>
      <c r="L263" s="250"/>
      <c r="M263" s="250"/>
      <c r="N263" s="333"/>
      <c r="O263" s="333"/>
      <c r="P263" s="333"/>
      <c r="Q263" s="241" t="s">
        <v>85</v>
      </c>
      <c r="R263" s="538"/>
      <c r="S263" s="333"/>
      <c r="T263" s="248"/>
      <c r="U263" s="248"/>
      <c r="V263" s="239"/>
      <c r="W263" s="366" t="s">
        <v>984</v>
      </c>
      <c r="X263" s="366"/>
      <c r="Y263" s="249" t="s">
        <v>1602</v>
      </c>
      <c r="Z263" s="249"/>
      <c r="AA263" s="239"/>
      <c r="AB263" s="239" t="s">
        <v>1596</v>
      </c>
    </row>
    <row r="264" spans="1:28" ht="51" customHeight="1">
      <c r="A264" s="313" t="s">
        <v>1604</v>
      </c>
      <c r="B264" s="241" t="s">
        <v>261</v>
      </c>
      <c r="C264" s="239" t="s">
        <v>916</v>
      </c>
      <c r="D264" s="607" t="s">
        <v>1068</v>
      </c>
      <c r="E264" s="473" t="s">
        <v>222</v>
      </c>
      <c r="F264" s="366">
        <v>2008</v>
      </c>
      <c r="G264" s="370"/>
      <c r="H264" s="239"/>
      <c r="I264" s="249" t="s">
        <v>1605</v>
      </c>
      <c r="J264" s="239"/>
      <c r="K264" s="239"/>
      <c r="L264" s="370"/>
      <c r="M264" s="239"/>
      <c r="N264" s="248"/>
      <c r="O264" s="552"/>
      <c r="P264" s="333"/>
      <c r="Q264" s="241" t="s">
        <v>85</v>
      </c>
      <c r="R264" s="538"/>
      <c r="S264" s="468">
        <f>O265/0.112194</f>
        <v>496461.48635399394</v>
      </c>
      <c r="T264" s="248"/>
      <c r="U264" s="248"/>
      <c r="V264" s="239"/>
      <c r="W264" s="366" t="s">
        <v>984</v>
      </c>
      <c r="X264" s="366"/>
      <c r="Y264" s="249" t="s">
        <v>1602</v>
      </c>
      <c r="Z264" s="249"/>
      <c r="AA264" s="239"/>
      <c r="AB264" s="507" t="s">
        <v>1603</v>
      </c>
    </row>
    <row r="265" spans="1:28" ht="41.25" customHeight="1">
      <c r="A265" s="313" t="s">
        <v>1607</v>
      </c>
      <c r="B265" s="241" t="s">
        <v>261</v>
      </c>
      <c r="C265" s="239" t="s">
        <v>916</v>
      </c>
      <c r="D265" s="607" t="s">
        <v>1608</v>
      </c>
      <c r="E265" s="473" t="s">
        <v>222</v>
      </c>
      <c r="F265" s="366">
        <v>2004</v>
      </c>
      <c r="G265" s="239"/>
      <c r="H265" s="239"/>
      <c r="I265" s="249" t="s">
        <v>1605</v>
      </c>
      <c r="J265" s="239"/>
      <c r="K265" s="239"/>
      <c r="L265" s="1270">
        <v>2900</v>
      </c>
      <c r="M265" s="239"/>
      <c r="N265" s="248"/>
      <c r="O265" s="1271">
        <v>55700</v>
      </c>
      <c r="P265" s="468">
        <f>O265*0.001*365*0.9</f>
        <v>18297.45</v>
      </c>
      <c r="Q265" s="241" t="s">
        <v>583</v>
      </c>
      <c r="R265" s="538"/>
      <c r="S265" s="250"/>
      <c r="T265" s="340"/>
      <c r="U265" s="340"/>
      <c r="V265" s="561"/>
      <c r="W265" s="249"/>
      <c r="X265" s="249"/>
      <c r="Y265" s="249"/>
      <c r="Z265" s="249"/>
      <c r="AA265" s="239"/>
      <c r="AB265" s="507" t="s">
        <v>1606</v>
      </c>
    </row>
    <row r="266" spans="1:28" ht="52.5" customHeight="1">
      <c r="A266" s="313" t="s">
        <v>1610</v>
      </c>
      <c r="B266" s="241" t="s">
        <v>251</v>
      </c>
      <c r="C266" s="239" t="s">
        <v>1026</v>
      </c>
      <c r="D266" s="607" t="s">
        <v>1472</v>
      </c>
      <c r="E266" s="473" t="s">
        <v>222</v>
      </c>
      <c r="F266" s="320" t="s">
        <v>941</v>
      </c>
      <c r="G266" s="239"/>
      <c r="H266" s="266" t="s">
        <v>1611</v>
      </c>
      <c r="I266" s="249"/>
      <c r="J266" s="239"/>
      <c r="K266" s="266" t="s">
        <v>2371</v>
      </c>
      <c r="L266" s="239"/>
      <c r="M266" s="239"/>
      <c r="N266" s="239"/>
      <c r="O266" s="239"/>
      <c r="P266" s="239"/>
      <c r="Q266" s="241"/>
      <c r="R266" s="538"/>
      <c r="S266" s="250"/>
      <c r="T266" s="340"/>
      <c r="U266" s="340"/>
      <c r="V266" s="561"/>
      <c r="W266" s="249"/>
      <c r="X266" s="249"/>
      <c r="Y266" s="249"/>
      <c r="Z266" s="249"/>
      <c r="AA266" s="239"/>
      <c r="AB266" s="609" t="s">
        <v>1609</v>
      </c>
    </row>
    <row r="267" spans="1:28" ht="66.599999999999994" customHeight="1">
      <c r="A267" s="241" t="s">
        <v>1613</v>
      </c>
      <c r="B267" s="241" t="s">
        <v>270</v>
      </c>
      <c r="C267" s="239" t="s">
        <v>916</v>
      </c>
      <c r="D267" s="492" t="s">
        <v>1614</v>
      </c>
      <c r="E267" s="480" t="s">
        <v>171</v>
      </c>
      <c r="F267" s="249"/>
      <c r="G267" s="239"/>
      <c r="H267" s="239" t="s">
        <v>1615</v>
      </c>
      <c r="I267" s="239" t="s">
        <v>116</v>
      </c>
      <c r="J267" s="239"/>
      <c r="K267" s="239" t="s">
        <v>1616</v>
      </c>
      <c r="L267" s="250">
        <v>2000</v>
      </c>
      <c r="M267" s="250"/>
      <c r="N267" s="333"/>
      <c r="O267" s="333"/>
      <c r="P267" s="333"/>
      <c r="Q267" s="241" t="s">
        <v>583</v>
      </c>
      <c r="R267" s="538"/>
      <c r="S267" s="468">
        <f>P269/0.112194</f>
        <v>948660.35616877908</v>
      </c>
      <c r="T267" s="248"/>
      <c r="U267" s="248" t="s">
        <v>1617</v>
      </c>
      <c r="V267" s="934">
        <v>20421</v>
      </c>
      <c r="W267" s="249" t="s">
        <v>1618</v>
      </c>
      <c r="X267" s="249" t="s">
        <v>1619</v>
      </c>
      <c r="Y267" s="249" t="s">
        <v>1620</v>
      </c>
      <c r="Z267" s="249"/>
      <c r="AA267" s="239"/>
      <c r="AB267" s="239" t="s">
        <v>1612</v>
      </c>
    </row>
    <row r="268" spans="1:28" ht="63" customHeight="1">
      <c r="A268" s="313" t="s">
        <v>1576</v>
      </c>
      <c r="B268" s="241" t="s">
        <v>251</v>
      </c>
      <c r="C268" s="316" t="s">
        <v>1438</v>
      </c>
      <c r="D268" s="607" t="s">
        <v>604</v>
      </c>
      <c r="E268" s="473" t="s">
        <v>171</v>
      </c>
      <c r="F268" s="366" t="s">
        <v>853</v>
      </c>
      <c r="G268" s="316" t="s">
        <v>1577</v>
      </c>
      <c r="H268" s="316" t="s">
        <v>1477</v>
      </c>
      <c r="I268" s="239" t="s">
        <v>1578</v>
      </c>
      <c r="J268" s="316" t="s">
        <v>1479</v>
      </c>
      <c r="K268" s="316" t="s">
        <v>1579</v>
      </c>
      <c r="L268" s="250" t="s">
        <v>1481</v>
      </c>
      <c r="M268" s="433">
        <v>90000</v>
      </c>
      <c r="N268" s="370"/>
      <c r="O268" s="552">
        <v>1777778</v>
      </c>
      <c r="P268" s="552">
        <v>584000</v>
      </c>
      <c r="Q268" s="360" t="s">
        <v>85</v>
      </c>
      <c r="R268" s="249"/>
      <c r="S268" s="518"/>
      <c r="T268" s="249"/>
      <c r="U268" s="927"/>
      <c r="V268" s="518"/>
      <c r="W268" s="249" t="s">
        <v>1436</v>
      </c>
      <c r="X268" s="249" t="s">
        <v>130</v>
      </c>
      <c r="Y268" s="249" t="s">
        <v>1580</v>
      </c>
      <c r="Z268" s="249"/>
      <c r="AA268" s="249"/>
      <c r="AB268" s="609" t="s">
        <v>1575</v>
      </c>
    </row>
    <row r="269" spans="1:28" ht="54" customHeight="1">
      <c r="A269" s="241" t="s">
        <v>1622</v>
      </c>
      <c r="B269" s="241" t="s">
        <v>261</v>
      </c>
      <c r="C269" s="239" t="s">
        <v>1623</v>
      </c>
      <c r="D269" s="492" t="s">
        <v>1624</v>
      </c>
      <c r="E269" s="480" t="s">
        <v>314</v>
      </c>
      <c r="F269" s="249">
        <v>2006</v>
      </c>
      <c r="G269" s="239"/>
      <c r="H269" s="239" t="s">
        <v>1625</v>
      </c>
      <c r="I269" s="239" t="s">
        <v>116</v>
      </c>
      <c r="J269" s="239" t="s">
        <v>981</v>
      </c>
      <c r="K269" s="239" t="s">
        <v>1626</v>
      </c>
      <c r="L269" s="1272" t="s">
        <v>1627</v>
      </c>
      <c r="M269" s="250"/>
      <c r="N269" s="333"/>
      <c r="O269" s="468">
        <v>324000</v>
      </c>
      <c r="P269" s="468">
        <f>O269*0.001*365*0.9</f>
        <v>106434</v>
      </c>
      <c r="Q269" s="360" t="s">
        <v>85</v>
      </c>
      <c r="R269" s="538"/>
      <c r="S269" s="347">
        <v>600</v>
      </c>
      <c r="T269" s="248"/>
      <c r="U269" s="1273" t="s">
        <v>1628</v>
      </c>
      <c r="V269" s="1274" t="s">
        <v>1629</v>
      </c>
      <c r="W269" s="239" t="s">
        <v>984</v>
      </c>
      <c r="X269" s="411"/>
      <c r="Y269" s="249" t="s">
        <v>1630</v>
      </c>
      <c r="Z269" s="239"/>
      <c r="AA269" s="239"/>
      <c r="AB269" s="239" t="s">
        <v>1621</v>
      </c>
    </row>
    <row r="270" spans="1:28" ht="68.45" customHeight="1">
      <c r="A270" s="313" t="s">
        <v>1632</v>
      </c>
      <c r="B270" s="313" t="s">
        <v>251</v>
      </c>
      <c r="C270" s="316" t="s">
        <v>1110</v>
      </c>
      <c r="D270" s="472" t="s">
        <v>233</v>
      </c>
      <c r="E270" s="473" t="s">
        <v>357</v>
      </c>
      <c r="F270" s="366">
        <v>2021</v>
      </c>
      <c r="G270" s="366">
        <v>2021</v>
      </c>
      <c r="H270" s="316" t="s">
        <v>1119</v>
      </c>
      <c r="I270" s="239" t="s">
        <v>924</v>
      </c>
      <c r="J270" s="316"/>
      <c r="K270" s="239" t="s">
        <v>1140</v>
      </c>
      <c r="L270" s="428">
        <v>44160</v>
      </c>
      <c r="M270" s="316"/>
      <c r="N270" s="370"/>
      <c r="O270" s="370"/>
      <c r="P270" s="370"/>
      <c r="Q270" s="446" t="s">
        <v>53</v>
      </c>
      <c r="R270" s="366" t="s">
        <v>157</v>
      </c>
      <c r="S270" s="316"/>
      <c r="T270" s="316"/>
      <c r="U270" s="316"/>
      <c r="V270" s="885">
        <v>44902</v>
      </c>
      <c r="W270" s="316"/>
      <c r="X270" s="316"/>
      <c r="Y270" s="316"/>
      <c r="Z270" s="316"/>
      <c r="AA270" s="316" t="s">
        <v>30</v>
      </c>
      <c r="AB270" s="609" t="s">
        <v>1631</v>
      </c>
    </row>
    <row r="271" spans="1:28" ht="66" customHeight="1">
      <c r="A271" s="360" t="s">
        <v>1582</v>
      </c>
      <c r="B271" s="360" t="s">
        <v>251</v>
      </c>
      <c r="C271" s="249" t="s">
        <v>1583</v>
      </c>
      <c r="D271" s="1275" t="s">
        <v>1584</v>
      </c>
      <c r="E271" s="1276" t="s">
        <v>763</v>
      </c>
      <c r="F271" s="267" t="s">
        <v>1585</v>
      </c>
      <c r="G271" s="362" t="s">
        <v>1586</v>
      </c>
      <c r="H271" s="249" t="s">
        <v>1587</v>
      </c>
      <c r="I271" s="267" t="s">
        <v>1588</v>
      </c>
      <c r="J271" s="267" t="s">
        <v>1589</v>
      </c>
      <c r="K271" s="249" t="s">
        <v>1590</v>
      </c>
      <c r="L271" s="316"/>
      <c r="M271" s="267" t="s">
        <v>1591</v>
      </c>
      <c r="N271" s="278">
        <f>O271/0.6</f>
        <v>2536783.3587011667</v>
      </c>
      <c r="O271" s="278">
        <f>P271/(0.001*365*0.9)</f>
        <v>1522070.0152207001</v>
      </c>
      <c r="P271" s="273">
        <v>500000</v>
      </c>
      <c r="Q271" s="360" t="s">
        <v>168</v>
      </c>
      <c r="R271" s="366" t="s">
        <v>202</v>
      </c>
      <c r="S271" s="278">
        <f>P271/0.112194</f>
        <v>4456566.3047934826</v>
      </c>
      <c r="T271" s="244"/>
      <c r="U271" s="244"/>
      <c r="V271" s="244"/>
      <c r="W271" s="290"/>
      <c r="X271" s="316"/>
      <c r="Y271" s="239" t="s">
        <v>1592</v>
      </c>
      <c r="Z271" s="316"/>
      <c r="AA271" s="316"/>
      <c r="AB271" s="1284" t="s">
        <v>1581</v>
      </c>
    </row>
    <row r="272" spans="1:28" ht="66" customHeight="1">
      <c r="A272" s="360" t="s">
        <v>1633</v>
      </c>
      <c r="B272" s="360" t="s">
        <v>251</v>
      </c>
      <c r="C272" s="249" t="s">
        <v>1583</v>
      </c>
      <c r="D272" s="1275" t="s">
        <v>226</v>
      </c>
      <c r="E272" s="1276" t="s">
        <v>763</v>
      </c>
      <c r="F272" s="267" t="s">
        <v>1634</v>
      </c>
      <c r="G272" s="362" t="s">
        <v>1635</v>
      </c>
      <c r="H272" s="249" t="s">
        <v>1587</v>
      </c>
      <c r="I272" s="267" t="s">
        <v>1588</v>
      </c>
      <c r="J272" s="267" t="s">
        <v>1589</v>
      </c>
      <c r="K272" s="249" t="s">
        <v>1590</v>
      </c>
      <c r="L272" s="316"/>
      <c r="M272" s="267" t="s">
        <v>1591</v>
      </c>
      <c r="N272" s="278">
        <f>O272/0.6</f>
        <v>2536783.3587011667</v>
      </c>
      <c r="O272" s="278">
        <f>P272/(0.001*365*0.9)</f>
        <v>1522070.0152207001</v>
      </c>
      <c r="P272" s="273">
        <v>500000</v>
      </c>
      <c r="Q272" s="360" t="s">
        <v>168</v>
      </c>
      <c r="R272" s="366" t="s">
        <v>202</v>
      </c>
      <c r="S272" s="278">
        <f>P272/0.112194</f>
        <v>4456566.3047934826</v>
      </c>
      <c r="T272" s="244"/>
      <c r="U272" s="244"/>
      <c r="V272" s="244"/>
      <c r="W272" s="290"/>
      <c r="X272" s="249"/>
      <c r="Y272" s="239" t="s">
        <v>1592</v>
      </c>
      <c r="Z272" s="239"/>
      <c r="AA272" s="316"/>
      <c r="AB272" s="1284" t="s">
        <v>1581</v>
      </c>
    </row>
    <row r="273" spans="1:28" ht="66" customHeight="1">
      <c r="A273" s="360" t="s">
        <v>1637</v>
      </c>
      <c r="B273" s="241" t="s">
        <v>270</v>
      </c>
      <c r="C273" s="249" t="s">
        <v>1110</v>
      </c>
      <c r="D273" s="492" t="s">
        <v>1639</v>
      </c>
      <c r="E273" s="480" t="s">
        <v>180</v>
      </c>
      <c r="F273" s="249">
        <v>2005</v>
      </c>
      <c r="G273" s="239"/>
      <c r="H273" s="239" t="s">
        <v>1640</v>
      </c>
      <c r="I273" s="239" t="s">
        <v>116</v>
      </c>
      <c r="J273" s="239" t="s">
        <v>1641</v>
      </c>
      <c r="K273" s="239" t="s">
        <v>1642</v>
      </c>
      <c r="L273" s="428">
        <v>16000</v>
      </c>
      <c r="M273" s="1277">
        <f>9000*8.3*0.0005*365</f>
        <v>13632.75</v>
      </c>
      <c r="N273" s="930">
        <v>35000</v>
      </c>
      <c r="O273" s="283">
        <f>N273*0.6</f>
        <v>21000</v>
      </c>
      <c r="P273" s="278">
        <f>O273*0.001*365*0.9</f>
        <v>6898.5</v>
      </c>
      <c r="Q273" s="360" t="s">
        <v>217</v>
      </c>
      <c r="R273" s="538"/>
      <c r="S273" s="286"/>
      <c r="T273" s="286"/>
      <c r="U273" s="249" t="s">
        <v>1643</v>
      </c>
      <c r="V273" s="286"/>
      <c r="W273" s="249" t="s">
        <v>1564</v>
      </c>
      <c r="X273" s="249" t="s">
        <v>1644</v>
      </c>
      <c r="Y273" s="249" t="s">
        <v>1645</v>
      </c>
      <c r="Z273" s="308"/>
      <c r="AA273" s="308"/>
      <c r="AB273" s="239" t="s">
        <v>1636</v>
      </c>
    </row>
    <row r="274" spans="1:28" ht="66" customHeight="1">
      <c r="A274" s="382" t="s">
        <v>1647</v>
      </c>
      <c r="B274" s="241" t="s">
        <v>303</v>
      </c>
      <c r="C274" s="286" t="s">
        <v>916</v>
      </c>
      <c r="D274" s="288" t="s">
        <v>1507</v>
      </c>
      <c r="E274" s="480" t="s">
        <v>1508</v>
      </c>
      <c r="F274" s="485" t="s">
        <v>29</v>
      </c>
      <c r="G274" s="1278"/>
      <c r="H274" s="239" t="s">
        <v>1648</v>
      </c>
      <c r="I274" s="1279" t="s">
        <v>1649</v>
      </c>
      <c r="J274" s="437"/>
      <c r="K274" s="1280" t="s">
        <v>1650</v>
      </c>
      <c r="L274" s="510"/>
      <c r="M274" s="286" t="s">
        <v>1651</v>
      </c>
      <c r="N274" s="486"/>
      <c r="O274" s="486" t="s">
        <v>29</v>
      </c>
      <c r="P274" s="486"/>
      <c r="Q274" s="360" t="s">
        <v>217</v>
      </c>
      <c r="R274" s="538"/>
      <c r="S274" s="573">
        <f>1650*365</f>
        <v>602250</v>
      </c>
      <c r="T274" s="248"/>
      <c r="U274" s="520" t="s">
        <v>1652</v>
      </c>
      <c r="V274" s="239" t="s">
        <v>1653</v>
      </c>
      <c r="W274" s="249" t="s">
        <v>1564</v>
      </c>
      <c r="X274" s="249" t="s">
        <v>1654</v>
      </c>
      <c r="Y274" s="249" t="s">
        <v>1655</v>
      </c>
      <c r="Z274" s="249"/>
      <c r="AA274" s="239"/>
      <c r="AB274" s="665" t="s">
        <v>1646</v>
      </c>
    </row>
    <row r="275" spans="1:28" ht="66" customHeight="1">
      <c r="A275" s="241" t="s">
        <v>1657</v>
      </c>
      <c r="B275" s="241" t="s">
        <v>303</v>
      </c>
      <c r="C275" s="239" t="s">
        <v>916</v>
      </c>
      <c r="D275" s="492" t="s">
        <v>479</v>
      </c>
      <c r="E275" s="480" t="s">
        <v>101</v>
      </c>
      <c r="F275" s="249">
        <v>2010</v>
      </c>
      <c r="G275" s="239"/>
      <c r="H275" s="239" t="s">
        <v>1658</v>
      </c>
      <c r="I275" s="309" t="s">
        <v>116</v>
      </c>
      <c r="J275" s="239" t="s">
        <v>1085</v>
      </c>
      <c r="K275" s="239" t="s">
        <v>1659</v>
      </c>
      <c r="L275" s="250"/>
      <c r="M275" s="573">
        <v>20000</v>
      </c>
      <c r="N275" s="502">
        <v>250000</v>
      </c>
      <c r="O275" s="887">
        <f>P275/(0.001*365*0.9)</f>
        <v>205689</v>
      </c>
      <c r="P275" s="468">
        <f>S274*0.112194</f>
        <v>67568.836500000005</v>
      </c>
      <c r="Q275" s="360" t="s">
        <v>217</v>
      </c>
      <c r="R275" s="538"/>
      <c r="S275" s="573">
        <f>1800*365*0.9</f>
        <v>591300</v>
      </c>
      <c r="T275" s="340"/>
      <c r="U275" s="1281" t="s">
        <v>1660</v>
      </c>
      <c r="V275" s="309" t="s">
        <v>1661</v>
      </c>
      <c r="W275" s="249" t="s">
        <v>1564</v>
      </c>
      <c r="X275" s="249" t="s">
        <v>1662</v>
      </c>
      <c r="Y275" s="249" t="s">
        <v>1663</v>
      </c>
      <c r="Z275" s="249"/>
      <c r="AA275" s="239"/>
      <c r="AB275" s="507" t="s">
        <v>1656</v>
      </c>
    </row>
    <row r="276" spans="1:28" ht="66" customHeight="1">
      <c r="A276" s="241" t="s">
        <v>1665</v>
      </c>
      <c r="B276" s="241" t="s">
        <v>251</v>
      </c>
      <c r="C276" s="239" t="s">
        <v>916</v>
      </c>
      <c r="D276" s="492" t="s">
        <v>1666</v>
      </c>
      <c r="E276" s="480" t="s">
        <v>101</v>
      </c>
      <c r="F276" s="249">
        <v>2012</v>
      </c>
      <c r="G276" s="239"/>
      <c r="H276" s="239" t="s">
        <v>1663</v>
      </c>
      <c r="I276" s="309" t="s">
        <v>116</v>
      </c>
      <c r="J276" s="239" t="s">
        <v>1085</v>
      </c>
      <c r="K276" s="239" t="s">
        <v>1667</v>
      </c>
      <c r="L276" s="387">
        <v>1300</v>
      </c>
      <c r="M276" s="573">
        <v>42600</v>
      </c>
      <c r="N276" s="333"/>
      <c r="O276" s="1272">
        <f>P276/(0.001*365*0.9)</f>
        <v>201949.19999999998</v>
      </c>
      <c r="P276" s="468">
        <f>S275*0.112194</f>
        <v>66340.3122</v>
      </c>
      <c r="Q276" s="241" t="s">
        <v>168</v>
      </c>
      <c r="R276" s="249"/>
      <c r="S276" s="345"/>
      <c r="T276" s="248"/>
      <c r="U276" s="1249" t="s">
        <v>1668</v>
      </c>
      <c r="V276" s="1401"/>
      <c r="W276" s="244"/>
      <c r="X276" s="244" t="s">
        <v>1669</v>
      </c>
      <c r="Y276" s="244"/>
      <c r="Z276" s="244"/>
      <c r="AA276" s="249"/>
      <c r="AB276" s="239" t="s">
        <v>1664</v>
      </c>
    </row>
    <row r="277" spans="1:28" ht="66" customHeight="1">
      <c r="A277" s="360" t="s">
        <v>1671</v>
      </c>
      <c r="B277" s="360" t="s">
        <v>251</v>
      </c>
      <c r="C277" s="249" t="s">
        <v>1110</v>
      </c>
      <c r="D277" s="475" t="s">
        <v>1672</v>
      </c>
      <c r="E277" s="491" t="s">
        <v>101</v>
      </c>
      <c r="F277" s="249">
        <v>2013</v>
      </c>
      <c r="G277" s="249">
        <v>2014</v>
      </c>
      <c r="H277" s="244" t="s">
        <v>1673</v>
      </c>
      <c r="I277" s="244" t="s">
        <v>116</v>
      </c>
      <c r="J277" s="244"/>
      <c r="K277" s="249" t="s">
        <v>1674</v>
      </c>
      <c r="L277" s="244"/>
      <c r="M277" s="244"/>
      <c r="N277" s="248"/>
      <c r="O277" s="345">
        <v>615000</v>
      </c>
      <c r="P277" s="345"/>
      <c r="Q277" s="241" t="s">
        <v>168</v>
      </c>
      <c r="R277" s="249"/>
      <c r="S277" s="573">
        <v>0</v>
      </c>
      <c r="T277" s="248"/>
      <c r="U277" s="520" t="s">
        <v>1675</v>
      </c>
      <c r="V277" s="239" t="s">
        <v>1676</v>
      </c>
      <c r="W277" s="897"/>
      <c r="X277" s="897" t="s">
        <v>1677</v>
      </c>
      <c r="Y277" s="249"/>
      <c r="Z277" s="249"/>
      <c r="AA277" s="239"/>
      <c r="AB277" s="239" t="s">
        <v>1670</v>
      </c>
    </row>
    <row r="278" spans="1:28" ht="66" customHeight="1">
      <c r="A278" s="241" t="s">
        <v>1679</v>
      </c>
      <c r="B278" s="241" t="s">
        <v>251</v>
      </c>
      <c r="C278" s="239" t="s">
        <v>1110</v>
      </c>
      <c r="D278" s="475" t="s">
        <v>198</v>
      </c>
      <c r="E278" s="480" t="s">
        <v>101</v>
      </c>
      <c r="F278" s="249">
        <v>2012</v>
      </c>
      <c r="G278" s="249">
        <v>2013</v>
      </c>
      <c r="H278" s="244" t="s">
        <v>1680</v>
      </c>
      <c r="I278" s="243" t="s">
        <v>116</v>
      </c>
      <c r="J278" s="239"/>
      <c r="K278" s="239" t="s">
        <v>1681</v>
      </c>
      <c r="L278" s="387">
        <v>7000</v>
      </c>
      <c r="M278" s="573"/>
      <c r="N278" s="333"/>
      <c r="O278" s="1282">
        <v>830000</v>
      </c>
      <c r="P278" s="468"/>
      <c r="Q278" s="360" t="s">
        <v>217</v>
      </c>
      <c r="R278" s="538"/>
      <c r="S278" s="278">
        <f>O280/0.112194</f>
        <v>24419541.151933257</v>
      </c>
      <c r="T278" s="340"/>
      <c r="U278" s="340"/>
      <c r="V278" s="1274">
        <v>1352</v>
      </c>
      <c r="W278" s="366" t="s">
        <v>1564</v>
      </c>
      <c r="X278" s="897" t="s">
        <v>1682</v>
      </c>
      <c r="Y278" s="249" t="s">
        <v>1683</v>
      </c>
      <c r="Z278" s="249"/>
      <c r="AA278" s="239"/>
      <c r="AB278" s="239" t="s">
        <v>1678</v>
      </c>
    </row>
    <row r="279" spans="1:28" ht="66" customHeight="1">
      <c r="A279" s="484" t="s">
        <v>2242</v>
      </c>
      <c r="B279" s="484" t="s">
        <v>303</v>
      </c>
      <c r="C279" s="485" t="s">
        <v>916</v>
      </c>
      <c r="D279" s="288" t="s">
        <v>1522</v>
      </c>
      <c r="E279" s="289" t="s">
        <v>1186</v>
      </c>
      <c r="F279" s="372" t="s">
        <v>1523</v>
      </c>
      <c r="G279" s="285" t="s">
        <v>1457</v>
      </c>
      <c r="H279" s="485"/>
      <c r="I279" s="485"/>
      <c r="J279" s="485"/>
      <c r="K279" s="285" t="s">
        <v>1524</v>
      </c>
      <c r="L279" s="285">
        <v>4000</v>
      </c>
      <c r="M279" s="485"/>
      <c r="N279" s="688"/>
      <c r="O279" s="663"/>
      <c r="P279" s="663"/>
      <c r="Q279" s="374" t="s">
        <v>85</v>
      </c>
      <c r="R279" s="901"/>
      <c r="S279" s="510"/>
      <c r="T279" s="286"/>
      <c r="U279" s="286"/>
      <c r="V279" s="510"/>
      <c r="W279" s="499" t="s">
        <v>1024</v>
      </c>
      <c r="X279" s="499"/>
      <c r="Y279" s="499"/>
      <c r="Z279" s="499"/>
      <c r="AA279" s="499"/>
      <c r="AB279" s="609" t="s">
        <v>2343</v>
      </c>
    </row>
    <row r="280" spans="1:28" ht="66" customHeight="1">
      <c r="A280" s="241" t="s">
        <v>1685</v>
      </c>
      <c r="B280" s="241" t="s">
        <v>303</v>
      </c>
      <c r="C280" s="239" t="s">
        <v>916</v>
      </c>
      <c r="D280" s="492" t="s">
        <v>1686</v>
      </c>
      <c r="E280" s="480" t="s">
        <v>237</v>
      </c>
      <c r="F280" s="366">
        <v>2008</v>
      </c>
      <c r="G280" s="370"/>
      <c r="H280" s="239" t="s">
        <v>1687</v>
      </c>
      <c r="I280" s="243" t="s">
        <v>116</v>
      </c>
      <c r="J280" s="239" t="s">
        <v>1566</v>
      </c>
      <c r="K280" s="239" t="s">
        <v>1688</v>
      </c>
      <c r="L280" s="1277">
        <v>10000</v>
      </c>
      <c r="M280" s="573">
        <v>12500</v>
      </c>
      <c r="N280" s="333"/>
      <c r="O280" s="1271">
        <v>2739726</v>
      </c>
      <c r="P280" s="278">
        <f>O280*0.001*365*0.9</f>
        <v>899999.99100000004</v>
      </c>
      <c r="Q280" s="360" t="s">
        <v>85</v>
      </c>
      <c r="R280" s="538"/>
      <c r="S280" s="278">
        <f>P280/0.112194</f>
        <v>8021819.2684100755</v>
      </c>
      <c r="T280" s="340"/>
      <c r="U280" s="340"/>
      <c r="V280" s="1274"/>
      <c r="W280" s="366"/>
      <c r="X280" s="897"/>
      <c r="Y280" s="366"/>
      <c r="Z280" s="249"/>
      <c r="AA280" s="239"/>
      <c r="AB280" s="239" t="s">
        <v>1684</v>
      </c>
    </row>
    <row r="281" spans="1:28" ht="16.5" customHeight="1">
      <c r="A281" s="232"/>
      <c r="B281" s="231"/>
      <c r="C281" s="1"/>
      <c r="D281" s="1"/>
      <c r="E281" s="1"/>
      <c r="F281" s="1"/>
      <c r="G281" s="1"/>
      <c r="H281" s="1"/>
      <c r="I281" s="1"/>
      <c r="J281" s="1"/>
      <c r="K281" s="1"/>
      <c r="L281" s="1"/>
      <c r="M281" s="231"/>
      <c r="N281" s="231"/>
      <c r="O281" s="231"/>
      <c r="P281" s="8"/>
      <c r="Q281" s="1"/>
      <c r="R281" s="65"/>
      <c r="S281" s="1"/>
      <c r="T281" s="1"/>
      <c r="U281" s="1"/>
      <c r="V281" s="1"/>
      <c r="W281" s="1"/>
      <c r="X281" s="1"/>
      <c r="Y281" s="1"/>
      <c r="Z281" s="1"/>
      <c r="AA281" s="1"/>
      <c r="AB281" s="1"/>
    </row>
    <row r="282" spans="1:28" ht="15" customHeight="1">
      <c r="A282" s="232"/>
      <c r="B282" s="231"/>
      <c r="C282" s="1"/>
      <c r="D282" s="1"/>
      <c r="E282" s="1"/>
      <c r="F282" s="1"/>
      <c r="G282" s="1"/>
      <c r="H282" s="1"/>
      <c r="I282" s="1"/>
      <c r="J282" s="1"/>
      <c r="K282" s="1"/>
      <c r="L282" s="1"/>
      <c r="M282" s="231"/>
      <c r="N282" s="231"/>
      <c r="O282" s="231"/>
      <c r="P282" s="8"/>
      <c r="Q282" s="1"/>
      <c r="R282" s="65"/>
      <c r="S282" s="1"/>
      <c r="T282" s="1"/>
      <c r="U282" s="1"/>
      <c r="V282" s="1"/>
      <c r="W282" s="931"/>
      <c r="X282" s="1"/>
      <c r="Y282" s="1"/>
      <c r="Z282" s="1"/>
      <c r="AA282" s="1"/>
      <c r="AB282" s="76"/>
    </row>
    <row r="283" spans="1:28" ht="15" customHeight="1">
      <c r="A283" s="694"/>
      <c r="B283" s="771"/>
      <c r="C283" s="76"/>
      <c r="D283" s="76"/>
      <c r="E283" s="76"/>
      <c r="F283" s="76"/>
      <c r="G283" s="76"/>
      <c r="H283" s="76"/>
      <c r="I283" s="76"/>
      <c r="J283" s="76"/>
      <c r="K283" s="76"/>
      <c r="L283" s="76"/>
      <c r="M283" s="771"/>
      <c r="N283" s="771"/>
      <c r="O283" s="932"/>
      <c r="P283" s="820"/>
      <c r="Q283" s="931"/>
      <c r="R283" s="933"/>
      <c r="S283" s="76"/>
      <c r="T283" s="76"/>
      <c r="U283" s="76"/>
      <c r="V283" s="76"/>
      <c r="W283" s="931"/>
      <c r="X283" s="76"/>
      <c r="Y283" s="76"/>
      <c r="Z283" s="76"/>
      <c r="AA283" s="76"/>
      <c r="AB283" s="931"/>
    </row>
    <row r="284" spans="1:28" ht="32.450000000000003" customHeight="1">
      <c r="A284" s="1213" t="s">
        <v>3181</v>
      </c>
      <c r="B284" s="1132" t="s">
        <v>2866</v>
      </c>
      <c r="C284" s="1"/>
      <c r="D284" s="1"/>
      <c r="E284" s="1"/>
      <c r="F284" s="1"/>
      <c r="G284" s="931"/>
      <c r="H284" s="931"/>
      <c r="I284" s="931"/>
      <c r="J284" s="931"/>
      <c r="K284" s="931"/>
      <c r="L284" s="931"/>
      <c r="M284" s="932"/>
      <c r="N284" s="932"/>
      <c r="O284" s="932"/>
      <c r="P284" s="820"/>
      <c r="Q284" s="931"/>
      <c r="R284" s="933"/>
      <c r="S284" s="931"/>
      <c r="T284" s="931"/>
      <c r="U284" s="931"/>
      <c r="V284" s="931"/>
      <c r="W284" s="931"/>
      <c r="X284" s="931"/>
      <c r="Y284" s="931"/>
      <c r="Z284" s="931"/>
      <c r="AA284" s="931"/>
      <c r="AB284" s="931"/>
    </row>
    <row r="285" spans="1:28" ht="15" customHeight="1">
      <c r="A285" s="1256" t="s">
        <v>359</v>
      </c>
      <c r="B285" s="1029">
        <f>COUNTA(A10:A172)+1</f>
        <v>163</v>
      </c>
      <c r="D285" s="1"/>
      <c r="E285" s="1"/>
      <c r="F285" s="1"/>
      <c r="G285" s="931"/>
      <c r="H285" s="931"/>
      <c r="I285" s="931"/>
      <c r="J285" s="931"/>
      <c r="K285" s="931"/>
      <c r="L285" s="931"/>
      <c r="M285" s="932"/>
      <c r="N285" s="932"/>
      <c r="O285" s="932"/>
      <c r="P285" s="820"/>
      <c r="Q285" s="931"/>
      <c r="R285" s="933"/>
      <c r="S285" s="931"/>
      <c r="T285" s="931"/>
      <c r="U285" s="931"/>
      <c r="V285" s="931"/>
      <c r="W285" s="931"/>
      <c r="X285" s="931"/>
      <c r="Y285" s="931"/>
      <c r="Z285" s="931"/>
      <c r="AA285" s="931"/>
      <c r="AB285" s="931"/>
    </row>
    <row r="286" spans="1:28" ht="15" customHeight="1">
      <c r="A286" s="1256" t="s">
        <v>360</v>
      </c>
      <c r="B286" s="1029">
        <f>COUNTA(A174:A257)</f>
        <v>84</v>
      </c>
      <c r="D286" s="931"/>
      <c r="E286" s="931"/>
      <c r="F286" s="931"/>
      <c r="G286" s="931"/>
      <c r="H286" s="931"/>
      <c r="I286" s="931"/>
      <c r="J286" s="931"/>
      <c r="K286" s="931"/>
      <c r="L286" s="931"/>
      <c r="M286" s="932"/>
      <c r="N286" s="932"/>
      <c r="O286" s="932"/>
      <c r="P286" s="820"/>
      <c r="Q286" s="931"/>
      <c r="R286" s="933"/>
      <c r="S286" s="931"/>
      <c r="T286" s="931"/>
      <c r="U286" s="931"/>
      <c r="V286" s="931"/>
      <c r="W286" s="931"/>
      <c r="X286" s="931"/>
      <c r="Y286" s="931"/>
      <c r="Z286" s="931"/>
      <c r="AA286" s="931"/>
      <c r="AB286" s="931"/>
    </row>
    <row r="287" spans="1:28" ht="15" customHeight="1">
      <c r="A287" s="1256" t="s">
        <v>361</v>
      </c>
      <c r="B287" s="1027">
        <v>52</v>
      </c>
      <c r="D287" s="931"/>
      <c r="E287" s="931"/>
      <c r="F287" s="1"/>
      <c r="G287" s="931"/>
      <c r="H287" s="931"/>
      <c r="I287" s="931"/>
      <c r="J287" s="931"/>
      <c r="K287" s="931"/>
      <c r="L287" s="931"/>
      <c r="M287" s="932"/>
      <c r="N287" s="932"/>
      <c r="O287" s="932"/>
      <c r="P287" s="820"/>
      <c r="Q287" s="931"/>
      <c r="R287" s="933"/>
      <c r="S287" s="931"/>
      <c r="T287" s="931"/>
      <c r="U287" s="931"/>
      <c r="V287" s="931"/>
      <c r="W287" s="931"/>
      <c r="X287" s="931"/>
      <c r="Y287" s="931"/>
      <c r="Z287" s="931"/>
      <c r="AA287" s="931"/>
      <c r="AB287" s="1"/>
    </row>
    <row r="288" spans="1:28" ht="15" customHeight="1">
      <c r="A288" s="932"/>
      <c r="B288" s="1017"/>
    </row>
    <row r="289" spans="1:28" ht="15" customHeight="1">
      <c r="A289" s="932"/>
      <c r="B289" s="1017"/>
    </row>
    <row r="290" spans="1:28" ht="42.95" customHeight="1">
      <c r="A290" s="1213" t="s">
        <v>3180</v>
      </c>
      <c r="B290" s="1132" t="s">
        <v>2866</v>
      </c>
    </row>
    <row r="291" spans="1:28" ht="15" customHeight="1">
      <c r="A291" s="1256" t="s">
        <v>3177</v>
      </c>
      <c r="B291" s="1283">
        <f>SUM(P10:P172)+180000</f>
        <v>27056544.084181625</v>
      </c>
    </row>
    <row r="292" spans="1:28" ht="15" customHeight="1">
      <c r="A292" s="1434" t="s">
        <v>3176</v>
      </c>
      <c r="B292" s="1283">
        <f>SUM(P174:P257)</f>
        <v>10482203.638600001</v>
      </c>
    </row>
    <row r="294" spans="1:28" ht="23.25" customHeight="1"/>
    <row r="295" spans="1:28" ht="24" customHeight="1"/>
    <row r="296" spans="1:28" ht="21.95" customHeight="1"/>
    <row r="297" spans="1:28" ht="20.100000000000001" customHeight="1"/>
    <row r="298" spans="1:28" ht="17.45" customHeight="1"/>
    <row r="299" spans="1:28" ht="23.1" customHeight="1"/>
    <row r="300" spans="1:28" ht="20.100000000000001" customHeight="1"/>
    <row r="301" spans="1:28" ht="21.6" customHeight="1"/>
    <row r="302" spans="1:28" ht="18" customHeight="1"/>
    <row r="303" spans="1:28" ht="17.100000000000001" customHeight="1"/>
    <row r="304" spans="1:28" s="750" customFormat="1" ht="12" customHeight="1">
      <c r="A304" s="303"/>
      <c r="C304" s="302"/>
      <c r="D304" s="302"/>
      <c r="E304" s="302"/>
      <c r="F304" s="302"/>
      <c r="G304" s="302"/>
      <c r="H304" s="302"/>
      <c r="I304" s="302"/>
      <c r="J304" s="302"/>
      <c r="K304" s="302"/>
      <c r="L304" s="302"/>
      <c r="P304" s="821"/>
      <c r="Q304" s="302"/>
      <c r="R304" s="302"/>
      <c r="S304" s="302"/>
      <c r="T304" s="302"/>
      <c r="U304" s="302"/>
      <c r="V304" s="302"/>
      <c r="W304" s="302"/>
      <c r="X304" s="302"/>
      <c r="Y304" s="302"/>
      <c r="Z304" s="302"/>
      <c r="AA304" s="302"/>
      <c r="AB304" s="302"/>
    </row>
    <row r="305" spans="1:28" s="1216" customFormat="1" ht="21" customHeight="1">
      <c r="A305" s="303"/>
      <c r="B305" s="750"/>
      <c r="C305" s="302"/>
      <c r="D305" s="302"/>
      <c r="E305" s="302"/>
      <c r="F305" s="302"/>
      <c r="G305" s="302"/>
      <c r="H305" s="302"/>
      <c r="I305" s="302"/>
      <c r="J305" s="302"/>
      <c r="K305" s="302"/>
      <c r="L305" s="302"/>
      <c r="M305" s="750"/>
      <c r="N305" s="750"/>
      <c r="O305" s="750"/>
      <c r="P305" s="821"/>
      <c r="Q305" s="302"/>
      <c r="R305" s="302"/>
      <c r="S305" s="302"/>
      <c r="T305" s="302"/>
      <c r="U305" s="302"/>
      <c r="V305" s="302"/>
      <c r="W305" s="302"/>
      <c r="X305" s="302"/>
      <c r="Y305" s="302"/>
      <c r="Z305" s="302"/>
      <c r="AA305" s="302"/>
      <c r="AB305" s="302"/>
    </row>
    <row r="306" spans="1:28" s="1216" customFormat="1" ht="19.5" customHeight="1">
      <c r="A306" s="303"/>
      <c r="B306" s="750"/>
      <c r="C306" s="302"/>
      <c r="D306" s="302"/>
      <c r="E306" s="302"/>
      <c r="F306" s="302"/>
      <c r="G306" s="302"/>
      <c r="H306" s="302"/>
      <c r="I306" s="302"/>
      <c r="J306" s="302"/>
      <c r="K306" s="302"/>
      <c r="L306" s="302"/>
      <c r="M306" s="750"/>
      <c r="N306" s="750"/>
      <c r="O306" s="750"/>
      <c r="P306" s="821"/>
      <c r="Q306" s="302"/>
      <c r="R306" s="302"/>
      <c r="S306" s="302"/>
      <c r="T306" s="302"/>
      <c r="U306" s="302"/>
      <c r="V306" s="302"/>
      <c r="W306" s="302"/>
      <c r="X306" s="302"/>
      <c r="Y306" s="302"/>
      <c r="Z306" s="302"/>
      <c r="AA306" s="302"/>
      <c r="AB306" s="302"/>
    </row>
    <row r="307" spans="1:28" s="1216" customFormat="1" ht="18" customHeight="1">
      <c r="A307" s="303"/>
      <c r="B307" s="750"/>
      <c r="C307" s="302"/>
      <c r="D307" s="302"/>
      <c r="E307" s="302"/>
      <c r="F307" s="302"/>
      <c r="G307" s="302"/>
      <c r="H307" s="302"/>
      <c r="I307" s="302"/>
      <c r="J307" s="302"/>
      <c r="K307" s="302"/>
      <c r="L307" s="302"/>
      <c r="M307" s="750"/>
      <c r="N307" s="750"/>
      <c r="O307" s="750"/>
      <c r="P307" s="821"/>
      <c r="Q307" s="302"/>
      <c r="R307" s="302"/>
      <c r="S307" s="302"/>
      <c r="T307" s="302"/>
      <c r="U307" s="302"/>
      <c r="V307" s="302"/>
      <c r="W307" s="302"/>
      <c r="X307" s="302"/>
      <c r="Y307" s="302"/>
      <c r="Z307" s="302"/>
      <c r="AA307" s="302"/>
      <c r="AB307" s="302"/>
    </row>
    <row r="308" spans="1:28" s="1216" customFormat="1" ht="21.6" customHeight="1">
      <c r="A308" s="303"/>
      <c r="B308" s="750"/>
      <c r="C308" s="302"/>
      <c r="D308" s="302"/>
      <c r="E308" s="302"/>
      <c r="F308" s="302"/>
      <c r="G308" s="302"/>
      <c r="H308" s="302"/>
      <c r="I308" s="302"/>
      <c r="J308" s="302"/>
      <c r="K308" s="302"/>
      <c r="L308" s="302"/>
      <c r="M308" s="750"/>
      <c r="N308" s="750"/>
      <c r="O308" s="750"/>
      <c r="P308" s="821"/>
      <c r="Q308" s="302"/>
      <c r="R308" s="302"/>
      <c r="S308" s="302"/>
      <c r="T308" s="302"/>
      <c r="U308" s="302"/>
      <c r="V308" s="302"/>
      <c r="W308" s="302"/>
      <c r="X308" s="302"/>
      <c r="Y308" s="302"/>
      <c r="Z308" s="302"/>
      <c r="AA308" s="302"/>
      <c r="AB308" s="302"/>
    </row>
    <row r="309" spans="1:28" s="1216" customFormat="1" ht="17.100000000000001" customHeight="1">
      <c r="A309" s="303"/>
      <c r="B309" s="750"/>
      <c r="C309" s="302"/>
      <c r="D309" s="302"/>
      <c r="E309" s="302"/>
      <c r="F309" s="302"/>
      <c r="G309" s="302"/>
      <c r="H309" s="302"/>
      <c r="I309" s="302"/>
      <c r="J309" s="302"/>
      <c r="K309" s="302"/>
      <c r="L309" s="302"/>
      <c r="M309" s="750"/>
      <c r="N309" s="750"/>
      <c r="O309" s="750"/>
      <c r="P309" s="821"/>
      <c r="Q309" s="302"/>
      <c r="R309" s="302"/>
      <c r="S309" s="302"/>
      <c r="T309" s="302"/>
      <c r="U309" s="302"/>
      <c r="V309" s="302"/>
      <c r="W309" s="302"/>
      <c r="X309" s="302"/>
      <c r="Y309" s="302"/>
      <c r="Z309" s="302"/>
      <c r="AA309" s="302"/>
      <c r="AB309" s="302"/>
    </row>
    <row r="310" spans="1:28" s="1216" customFormat="1" ht="17.45" customHeight="1">
      <c r="A310" s="303"/>
      <c r="B310" s="750"/>
      <c r="C310" s="302"/>
      <c r="D310" s="302"/>
      <c r="E310" s="302"/>
      <c r="F310" s="302"/>
      <c r="G310" s="302"/>
      <c r="H310" s="302"/>
      <c r="I310" s="302"/>
      <c r="J310" s="302"/>
      <c r="K310" s="302"/>
      <c r="L310" s="302"/>
      <c r="M310" s="750"/>
      <c r="N310" s="750"/>
      <c r="O310" s="750"/>
      <c r="P310" s="821"/>
      <c r="Q310" s="302"/>
      <c r="R310" s="302"/>
      <c r="S310" s="302"/>
      <c r="T310" s="302"/>
      <c r="U310" s="302"/>
      <c r="V310" s="302"/>
      <c r="W310" s="302"/>
      <c r="X310" s="302"/>
      <c r="Y310" s="302"/>
      <c r="Z310" s="302"/>
      <c r="AA310" s="302"/>
      <c r="AB310" s="302"/>
    </row>
    <row r="311" spans="1:28" ht="17.100000000000001" customHeight="1"/>
    <row r="312" spans="1:28" ht="17.100000000000001" customHeight="1"/>
    <row r="313" spans="1:28" ht="18.600000000000001" customHeight="1"/>
    <row r="314" spans="1:28" ht="19.5" customHeight="1"/>
    <row r="315" spans="1:28" ht="17.45" customHeight="1"/>
    <row r="316" spans="1:28" ht="27.75" customHeight="1"/>
    <row r="317" spans="1:28" ht="27.75" customHeight="1"/>
    <row r="318" spans="1:28" ht="27.75" customHeight="1"/>
    <row r="319" spans="1:28" ht="27.75" customHeight="1"/>
    <row r="320" spans="1:28" ht="27.75" customHeight="1"/>
    <row r="321" ht="27.75" customHeight="1"/>
    <row r="322" ht="27.75" customHeight="1"/>
    <row r="323" ht="27.75" customHeight="1"/>
    <row r="324" ht="27.75" customHeight="1"/>
    <row r="325" ht="27.75" customHeight="1"/>
    <row r="326" ht="18.95" customHeight="1"/>
    <row r="327" ht="17.45" customHeight="1"/>
    <row r="328" ht="47.45" customHeight="1"/>
    <row r="329" ht="27.75" customHeight="1"/>
    <row r="330" ht="27.75" customHeight="1"/>
    <row r="331" ht="27.75" customHeight="1"/>
    <row r="332" ht="27.75" customHeight="1"/>
    <row r="333" ht="27.75" customHeight="1"/>
    <row r="334" ht="27.75" customHeight="1"/>
    <row r="335" ht="27.75" customHeight="1"/>
    <row r="336" ht="27.75" customHeight="1"/>
    <row r="337" ht="27.75" customHeight="1"/>
    <row r="338" ht="27.75" customHeight="1"/>
    <row r="339" ht="27.75" customHeight="1"/>
    <row r="340" ht="27.75" customHeight="1"/>
    <row r="341" ht="27.75" customHeight="1"/>
    <row r="342" ht="27.75" customHeight="1"/>
    <row r="343" ht="27.75" customHeight="1"/>
    <row r="344" ht="27.75" customHeight="1"/>
    <row r="345" ht="27.75" customHeight="1"/>
    <row r="346" ht="27.75" customHeight="1"/>
  </sheetData>
  <sortState xmlns:xlrd2="http://schemas.microsoft.com/office/spreadsheetml/2017/richdata2" ref="A120:AW180">
    <sortCondition ref="A120:A180"/>
  </sortState>
  <mergeCells count="13">
    <mergeCell ref="B5:G5"/>
    <mergeCell ref="A258:AB258"/>
    <mergeCell ref="A9:AB9"/>
    <mergeCell ref="A173:AB173"/>
    <mergeCell ref="F1:G1"/>
    <mergeCell ref="B2:G2"/>
    <mergeCell ref="B3:G3"/>
    <mergeCell ref="B4:G4"/>
    <mergeCell ref="A7:E7"/>
    <mergeCell ref="F7:K7"/>
    <mergeCell ref="L7:N7"/>
    <mergeCell ref="O7:U7"/>
    <mergeCell ref="V7:AB7"/>
  </mergeCells>
  <dataValidations count="2">
    <dataValidation type="list" allowBlank="1" sqref="Q190:R190" xr:uid="{00000000-0002-0000-0500-000000000000}">
      <formula1>"Pipeline,Vehicle Fuel,Both,Unknown,Other"</formula1>
    </dataValidation>
    <dataValidation type="list" allowBlank="1" showErrorMessage="1" sqref="B21:B27 B12:B16 R270:R272 R174 R260:R262 E178 E19:E20" xr:uid="{00000000-0002-0000-0500-000002000000}">
      <formula1>#REF!</formula1>
    </dataValidation>
  </dataValidations>
  <hyperlinks>
    <hyperlink ref="AB181" r:id="rId1" xr:uid="{00000000-0004-0000-0500-00002E000000}"/>
    <hyperlink ref="AB183" r:id="rId2" xr:uid="{00000000-0004-0000-0500-000031000000}"/>
    <hyperlink ref="AB184" r:id="rId3" xr:uid="{00000000-0004-0000-0500-000033000000}"/>
    <hyperlink ref="AB272" r:id="rId4" xr:uid="{00000000-0004-0000-0500-000039000000}"/>
    <hyperlink ref="AB207" r:id="rId5" xr:uid="{00000000-0004-0000-0500-00003B000000}"/>
    <hyperlink ref="AB271" r:id="rId6" xr:uid="{00000000-0004-0000-0500-00003C000000}"/>
    <hyperlink ref="AB264" r:id="rId7" xr:uid="{00000000-0004-0000-0500-00003D000000}"/>
    <hyperlink ref="AB265" r:id="rId8" xr:uid="{00000000-0004-0000-0500-00003E000000}"/>
    <hyperlink ref="AB275" r:id="rId9" xr:uid="{00000000-0004-0000-0500-00003F000000}"/>
    <hyperlink ref="AB206" r:id="rId10" display="https://www.sierrarenewables.com/vanderschaaf" xr:uid="{C9B1A040-6E69-B947-9850-88657545977E}"/>
    <hyperlink ref="AB190" r:id="rId11" display="https://www.cdfa.ca.gov/oefi/ddrdp/docs/2022_DDRDP_ApplicationsReceived.pdf" xr:uid="{E8141CD6-B029-1D4B-A9C6-B6BA329C5107}"/>
    <hyperlink ref="AB252" r:id="rId12" display="https://www.novillarng.com/projects-2" xr:uid="{D8EAF517-CBE7-AA47-AC94-7C5A89CCB804}"/>
    <hyperlink ref="AB203" r:id="rId13" display="https://www.renewableom.com/single-project" xr:uid="{9D79F388-D74F-CD44-A7E0-1E8DDC2EEF8F}"/>
    <hyperlink ref="AB236" r:id="rId14" display="https://www.dynamicgrp.us/ash-grove-dairy" xr:uid="{E4DB9D88-414C-244C-BB08-531D5F21CDD5}"/>
    <hyperlink ref="AB247" r:id="rId15" display="https://alignrng.com/projects.aspx" xr:uid="{5BE2A780-6787-EC4F-B908-22FA64BCCE18}"/>
    <hyperlink ref="AB232" r:id="rId16" display="https://sports.yahoo.com/sji-rev-lng-break-ground-210300636.html" xr:uid="{9AC96D49-3224-4F48-AF9E-00E8F0432547}"/>
    <hyperlink ref="AB211" r:id="rId17" display="https://www.prnewswire.com/news-releases/chesapeake-utilities-corporation-to-develop-its-first-rng-facility-in-florida-301751834.html" xr:uid="{AEC03639-6884-A94D-971F-787B3B616FC4}"/>
    <hyperlink ref="AB213" r:id="rId18" xr:uid="{7CFBEC5B-7773-7B47-A821-6B7FC146DD6D}"/>
    <hyperlink ref="AB214" r:id="rId19" display="http://montaukenergy.com/operations/pico-energy/" xr:uid="{327B6450-BC0A-F74D-B2CC-B90E706FD329}"/>
    <hyperlink ref="AB223" r:id="rId20" xr:uid="{5E63FB20-00D2-3F4D-9955-D7E446EEA479}"/>
    <hyperlink ref="AB224" r:id="rId21" xr:uid="{6B7C9CB6-6B38-D243-A4E6-3112FF57AC8B}"/>
    <hyperlink ref="AB225" r:id="rId22" display="https://www.wastetodaymagazine.com/news/brightmark-chevron-joint-venture-five-anaerobic-digestion-farm-projects-michigan/" xr:uid="{736C177E-7157-DC41-BF63-B6C82FD1F3DA}"/>
    <hyperlink ref="AB239" r:id="rId23" xr:uid="{1396D8CB-9F35-0448-BAE1-76DD3A17108D}"/>
    <hyperlink ref="AB249" r:id="rId24" display="https://pinecreekrng.com/projects/lamb-weston/" xr:uid="{7C493ACA-628A-2D4D-B27F-522BB397BA95}"/>
    <hyperlink ref="AB212" r:id="rId25" display="https://www.iowafarmbureau.com/Article/Dairies-partner-to-provide-natural-gas-to-Sioux-Center_x000a_" xr:uid="{B63C761F-DEE0-AD47-A335-33AE864BBC93}"/>
    <hyperlink ref="AB221" r:id="rId26" display="https://corporate.perduefarms.com/news/press-releases/perdue-farms-extends-partnership-with-greengasusa/" xr:uid="{6CDBFED2-42F8-164E-A61B-0899DCDD0973}"/>
    <hyperlink ref="AB237" r:id="rId27" display="https://electricenergyonline.com/article/energy/category/biofuel/83/1034486/montauk-renewables-inc-announces-agreements-expanding-waste-to-renewable-energy-in-north-carolina.html_x000a_" xr:uid="{AEE042F1-8829-DD4E-9304-F24DDA4B0389}"/>
    <hyperlink ref="AB256" r:id="rId28" display="https://www.northernbiogas.com/portfolio" xr:uid="{F481A3C3-9EEB-454B-B0A2-216F7C30D066}"/>
    <hyperlink ref="AB250" r:id="rId29" xr:uid="{53D9CC13-A264-D749-8757-814F9BCEB868}"/>
    <hyperlink ref="AB218" r:id="rId30" display="http://starbioenergy.com/huntington/" xr:uid="{9910B439-1645-1D4F-8914-9D36D9CF6518}"/>
    <hyperlink ref="AB238" r:id="rId31" xr:uid="{39AE278A-2E16-2C4A-B226-7F023CE24E0C}"/>
    <hyperlink ref="AB255" r:id="rId32" xr:uid="{401CEA81-2F0B-3B47-8A95-028E47147997}"/>
    <hyperlink ref="AB133" r:id="rId33" display="https://corporate.perduefarms.com/news/press-releases/perdue-farms-announces-partnership-with-greengasusa/" xr:uid="{7B50BC6B-2E8B-144F-BA41-C6661E5DD0C5}"/>
    <hyperlink ref="AB168" r:id="rId34" display="https://www.novillarng.com/projects-2_x000a_" xr:uid="{9A0E52FC-3790-7749-B263-1F72351CEDE3}"/>
    <hyperlink ref="AB122" r:id="rId35" display="https://www.novillarng.com/projects-2" xr:uid="{0B34F6D6-F4BA-074E-B681-83C02CEF89E4}"/>
    <hyperlink ref="AB103" r:id="rId36" xr:uid="{104AB614-0CED-AC42-A018-C4A812BFD9FF}"/>
    <hyperlink ref="AB161" r:id="rId37" display="https://microgridknowledge.com/entech-microgrid-renewable-natural-gas/_x000a_" xr:uid="{00000000-0004-0000-0500-00004D000000}"/>
    <hyperlink ref="AB142" r:id="rId38" xr:uid="{00000000-0004-0000-0500-00004B000000}"/>
    <hyperlink ref="AB148" r:id="rId39" display="https://dtepowerandindustrial.com/project/dakota-plains-renewable-energy-under-construction/" xr:uid="{00000000-0004-0000-0500-000048000000}"/>
    <hyperlink ref="AB143" r:id="rId40" display="https://www.businesswire.com/news/home/20210907005130/en/UGI-and-Global-Common-Energy-Add-a-Second-Renewable-Natural-Gas-Project-in-Upstate-New-York" xr:uid="{00000000-0004-0000-0500-000044000000}"/>
    <hyperlink ref="K115" r:id="rId41" xr:uid="{00000000-0004-0000-0500-000042000000}"/>
    <hyperlink ref="AB114" r:id="rId42" display="http://montaukenergy.com/operations/pico-energy/  _x000a_https://www.vanguardlawmag.com/case-studies/james-jamie-wallace-montauk-energy/_x000a_http://www.rngcoalition.com/news/2018/10/31/montauk-energy-acquires-pico-energy_x000a_https://www.globenewswire.com/news-release/2021/06/15/2247115/0/en/Montauk-Renewables-Inc-Expands-Dairy-Digester-RNG-Project.html _x000a_https://ir.montaukrenewables.com/news-releases/news-release-details/montauk-renewables-inc-expands-agricultural-waste-segment_x000a_" xr:uid="{00000000-0004-0000-0500-000041000000}"/>
    <hyperlink ref="AB121" r:id="rId43" xr:uid="{00000000-0004-0000-0500-000038000000}"/>
    <hyperlink ref="K112" r:id="rId44" display="Biogest has received its first US order to build an agricultural biogas plant in Idaho, which will have a thermal output of 90,000 MMBTU per year and will utilise 120,000 tonnes of cow manure per year. As well as producing biogas, the plant will transform" xr:uid="{00000000-0004-0000-0500-000036000000}"/>
    <hyperlink ref="AB29" r:id="rId45" xr:uid="{00000000-0004-0000-0500-000035000000}"/>
    <hyperlink ref="AB145" r:id="rId46" location="iframe=L2Zvcm1zL2VuX3VzX2Jpb21ldGhhbmU  https://ec.europa.eu/info/sites/info/files/29_laxmi_narasimhan.pdf" display="https://www.shell.us/about-us/projects-and-locations/shell-new-energies-junction-city--biomethane-facility.html#iframe=L2Zvcm1zL2VuX3VzX2Jpb21ldGhhbmU  https://ec.europa.eu/info/sites/info/files/29_laxmi_narasimhan.pdf" xr:uid="{00000000-0004-0000-0500-00002A000000}"/>
    <hyperlink ref="AB98" r:id="rId47" xr:uid="{00000000-0004-0000-0500-000028000000}"/>
    <hyperlink ref="AB96" r:id="rId48" xr:uid="{00000000-0004-0000-0500-000027000000}"/>
    <hyperlink ref="AB95" r:id="rId49" xr:uid="{00000000-0004-0000-0500-000026000000}"/>
    <hyperlink ref="AB94" r:id="rId50" xr:uid="{00000000-0004-0000-0500-000025000000}"/>
    <hyperlink ref="AB77" r:id="rId51" xr:uid="{00000000-0004-0000-0500-000024000000}"/>
    <hyperlink ref="AB73" r:id="rId52" xr:uid="{00000000-0004-0000-0500-000023000000}"/>
    <hyperlink ref="AB55" r:id="rId53" xr:uid="{00000000-0004-0000-0500-000022000000}"/>
    <hyperlink ref="AB40" r:id="rId54" xr:uid="{00000000-0004-0000-0500-000021000000}"/>
    <hyperlink ref="AB16" r:id="rId55" xr:uid="{00000000-0004-0000-0500-000020000000}"/>
    <hyperlink ref="AB163" r:id="rId56" xr:uid="{00000000-0004-0000-0500-00001B000000}"/>
    <hyperlink ref="AB160" r:id="rId57" xr:uid="{00000000-0004-0000-0500-000019000000}"/>
    <hyperlink ref="AB159" r:id="rId58" xr:uid="{00000000-0004-0000-0500-000017000000}"/>
    <hyperlink ref="AB152" r:id="rId59" xr:uid="{00000000-0004-0000-0500-000014000000}"/>
    <hyperlink ref="AB123" r:id="rId60" xr:uid="{00000000-0004-0000-0500-000012000000}"/>
    <hyperlink ref="AB111" r:id="rId61" xr:uid="{00000000-0004-0000-0500-000010000000}"/>
    <hyperlink ref="AB110" r:id="rId62" xr:uid="{00000000-0004-0000-0500-00000E000000}"/>
    <hyperlink ref="AB93" r:id="rId63" xr:uid="{00000000-0004-0000-0500-00000D000000}"/>
    <hyperlink ref="AB83" r:id="rId64" xr:uid="{00000000-0004-0000-0500-00000C000000}"/>
    <hyperlink ref="AB53" r:id="rId65" xr:uid="{00000000-0004-0000-0500-00000B000000}"/>
    <hyperlink ref="AB89" r:id="rId66" xr:uid="{00000000-0004-0000-0500-00000A000000}"/>
    <hyperlink ref="AB88" r:id="rId67" xr:uid="{00000000-0004-0000-0500-000009000000}"/>
    <hyperlink ref="AB79" r:id="rId68" xr:uid="{00000000-0004-0000-0500-000008000000}"/>
    <hyperlink ref="AB65" r:id="rId69" xr:uid="{00000000-0004-0000-0500-000007000000}"/>
    <hyperlink ref="AB51" r:id="rId70" xr:uid="{00000000-0004-0000-0500-000006000000}"/>
    <hyperlink ref="AB45" r:id="rId71" location="/ https://www.dairybusiness.com/considerations-when-evaluating-renewable-natural-gas-production-on-dairy-farms/" xr:uid="{00000000-0004-0000-0500-000005000000}"/>
    <hyperlink ref="AB23" r:id="rId72" xr:uid="{00000000-0004-0000-0500-000004000000}"/>
    <hyperlink ref="AB27" r:id="rId73" xr:uid="{00000000-0004-0000-0500-000003000000}"/>
    <hyperlink ref="AB21" r:id="rId74" xr:uid="{00000000-0004-0000-0500-000002000000}"/>
    <hyperlink ref="AB15" r:id="rId75" xr:uid="{00000000-0004-0000-0500-000001000000}"/>
    <hyperlink ref="AB14" r:id="rId76" xr:uid="{00000000-0004-0000-0500-000000000000}"/>
  </hyperlinks>
  <pageMargins left="0.7" right="0.7" top="0.75" bottom="0.75" header="0" footer="0"/>
  <pageSetup orientation="portrait" r:id="rId77"/>
  <extLst>
    <ext xmlns:x14="http://schemas.microsoft.com/office/spreadsheetml/2009/9/main" uri="{CCE6A557-97BC-4b89-ADB6-D9C93CAAB3DF}">
      <x14:dataValidations xmlns:xm="http://schemas.microsoft.com/office/excel/2006/main" count="6">
        <x14:dataValidation type="list" allowBlank="1" xr:uid="{00000000-0002-0000-0500-000007000000}">
          <x14:formula1>
            <xm:f>'List Values'!$A$2:$A$8</xm:f>
          </x14:formula1>
          <xm:sqref>Q33</xm:sqref>
        </x14:dataValidation>
        <x14:dataValidation type="list" allowBlank="1" showErrorMessage="1" xr:uid="{00000000-0002-0000-0500-000008000000}">
          <x14:formula1>
            <xm:f>'List Values'!$A$2:$A$8</xm:f>
          </x14:formula1>
          <xm:sqref>Q67:Q70 Q174:Q178 Q34:Q65 Q10:Q32 Q259:Q280 Q72:Q118 Q120:Q156 Q158:Q172 Q157:R157 Q180:Q207 Q252</xm:sqref>
        </x14:dataValidation>
        <x14:dataValidation type="list" allowBlank="1" showInputMessage="1" showErrorMessage="1" xr:uid="{00000000-0002-0000-0500-000009000000}">
          <x14:formula1>
            <xm:f>'List Values'!$A$2:$A$8</xm:f>
          </x14:formula1>
          <xm:sqref>Q106:Q109</xm:sqref>
        </x14:dataValidation>
        <x14:dataValidation type="list" allowBlank="1" showInputMessage="1" showErrorMessage="1" xr:uid="{00000000-0002-0000-0500-00000A000000}">
          <x14:formula1>
            <xm:f>'List Values'!$A$11:$A$20</xm:f>
          </x14:formula1>
          <xm:sqref>B174:B206 B279 B10:B172 B252</xm:sqref>
        </x14:dataValidation>
        <x14:dataValidation type="list" allowBlank="1" showErrorMessage="1" xr:uid="{00000000-0002-0000-0500-00000B000000}">
          <x14:formula1>
            <xm:f>'List Values'!$A$11:$A$20</xm:f>
          </x14:formula1>
          <xm:sqref>B207 B259:B280</xm:sqref>
        </x14:dataValidation>
        <x14:dataValidation type="list" allowBlank="1" showErrorMessage="1" xr:uid="{CB8AACB4-9FF3-7F48-8D3E-347E6A7D2A93}">
          <x14:formula1>
            <xm:f>'List Values'!$A$23:$A$26</xm:f>
          </x14:formula1>
          <xm:sqref>R157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4C6E7"/>
  </sheetPr>
  <dimension ref="A1:AM74"/>
  <sheetViews>
    <sheetView topLeftCell="F1" zoomScale="80" zoomScaleNormal="80" workbookViewId="0">
      <pane ySplit="7" topLeftCell="A55" activePane="bottomLeft" state="frozen"/>
      <selection pane="bottomLeft" activeCell="U49" sqref="U49"/>
    </sheetView>
  </sheetViews>
  <sheetFormatPr defaultColWidth="12.625" defaultRowHeight="15" customHeight="1"/>
  <cols>
    <col min="1" max="1" width="20.5" customWidth="1"/>
    <col min="2" max="2" width="10.625" customWidth="1"/>
    <col min="3" max="3" width="9.625" customWidth="1"/>
    <col min="4" max="4" width="4" customWidth="1"/>
    <col min="5" max="5" width="8.625" customWidth="1"/>
    <col min="6" max="6" width="17.125" customWidth="1"/>
    <col min="7" max="7" width="57.125" customWidth="1"/>
    <col min="8" max="8" width="7.75" customWidth="1"/>
    <col min="9" max="9" width="9.25" customWidth="1"/>
    <col min="10" max="10" width="7.25" customWidth="1"/>
    <col min="11" max="11" width="7.125" customWidth="1"/>
    <col min="12" max="12" width="8.125" customWidth="1"/>
    <col min="13" max="13" width="8.625" customWidth="1"/>
    <col min="14" max="14" width="9.875" customWidth="1"/>
    <col min="15" max="16" width="8.5" customWidth="1"/>
    <col min="17" max="17" width="13.125" customWidth="1"/>
    <col min="18" max="18" width="2.75" customWidth="1"/>
    <col min="19" max="19" width="7.25" customWidth="1"/>
    <col min="20" max="20" width="10.25" customWidth="1"/>
    <col min="21" max="21" width="8.625" customWidth="1"/>
    <col min="22" max="22" width="37.125" customWidth="1"/>
    <col min="23" max="42" width="18.125" customWidth="1"/>
  </cols>
  <sheetData>
    <row r="1" spans="1:22">
      <c r="A1" s="1302" t="s">
        <v>1689</v>
      </c>
      <c r="B1" s="1303" t="s">
        <v>2680</v>
      </c>
      <c r="C1" s="1421"/>
      <c r="D1" s="1318"/>
      <c r="E1" s="1317"/>
      <c r="F1" s="1422"/>
      <c r="G1" s="829" t="s">
        <v>2933</v>
      </c>
      <c r="H1" s="1"/>
      <c r="I1" s="1"/>
      <c r="J1" s="1"/>
      <c r="K1" s="1"/>
      <c r="L1" s="1"/>
      <c r="M1" s="1"/>
      <c r="N1" s="1"/>
      <c r="O1" s="1"/>
      <c r="P1" s="1"/>
      <c r="Q1" s="1"/>
      <c r="R1" s="1"/>
      <c r="S1" s="1"/>
      <c r="T1" s="1"/>
      <c r="U1" s="1"/>
      <c r="V1" s="1"/>
    </row>
    <row r="2" spans="1:22">
      <c r="A2" s="1"/>
      <c r="B2" s="1418" t="s">
        <v>1690</v>
      </c>
      <c r="C2" s="1423"/>
      <c r="D2" s="1417"/>
      <c r="E2" s="1419"/>
      <c r="F2" s="1424"/>
      <c r="G2" s="829" t="s">
        <v>3</v>
      </c>
      <c r="H2" s="1"/>
      <c r="I2" s="1"/>
      <c r="J2" s="1"/>
      <c r="K2" s="1"/>
      <c r="L2" s="1"/>
      <c r="M2" s="1"/>
      <c r="N2" s="1"/>
      <c r="O2" s="1"/>
      <c r="P2" s="1"/>
      <c r="Q2" s="1"/>
      <c r="R2" s="1"/>
      <c r="S2" s="1"/>
      <c r="T2" s="1"/>
      <c r="U2" s="1"/>
      <c r="V2" s="1"/>
    </row>
    <row r="3" spans="1:22">
      <c r="A3" s="1"/>
      <c r="B3" s="1309" t="s">
        <v>4</v>
      </c>
      <c r="C3" s="1425"/>
      <c r="D3" s="1321"/>
      <c r="E3" s="1322"/>
      <c r="F3" s="1326"/>
      <c r="G3" s="1"/>
      <c r="H3" s="1"/>
      <c r="I3" s="1"/>
      <c r="J3" s="117"/>
      <c r="K3" s="1"/>
      <c r="L3" s="1"/>
      <c r="M3" s="1"/>
      <c r="N3" s="1"/>
      <c r="O3" s="1"/>
      <c r="P3" s="1"/>
      <c r="Q3" s="1"/>
      <c r="R3" s="1"/>
      <c r="S3" s="1"/>
      <c r="T3" s="1"/>
      <c r="U3" s="1"/>
      <c r="V3" s="1"/>
    </row>
    <row r="4" spans="1:22">
      <c r="A4" s="1"/>
      <c r="B4" s="1420" t="s">
        <v>5</v>
      </c>
      <c r="C4" s="1426"/>
      <c r="D4" s="1325"/>
      <c r="E4" s="1544"/>
      <c r="F4" s="1545"/>
      <c r="G4" s="1"/>
      <c r="H4" s="1"/>
      <c r="I4" s="1"/>
      <c r="J4" s="117">
        <f>J3/1440</f>
        <v>0</v>
      </c>
      <c r="K4" s="1"/>
      <c r="L4" s="1"/>
      <c r="M4" s="1"/>
      <c r="N4" s="1"/>
      <c r="O4" s="1"/>
      <c r="P4" s="1"/>
      <c r="Q4" s="1"/>
      <c r="R4" s="1"/>
      <c r="S4" s="1"/>
      <c r="T4" s="1"/>
      <c r="U4" s="1"/>
      <c r="V4" s="1"/>
    </row>
    <row r="5" spans="1:22" ht="21" customHeight="1">
      <c r="A5" s="1"/>
      <c r="B5" s="3"/>
      <c r="C5" s="1"/>
      <c r="D5" s="1"/>
      <c r="E5" s="1"/>
      <c r="F5" s="1"/>
      <c r="G5" s="1" t="s">
        <v>157</v>
      </c>
      <c r="H5" s="1"/>
      <c r="I5" s="1"/>
      <c r="J5" s="1"/>
      <c r="K5" s="1"/>
      <c r="L5" s="1"/>
      <c r="M5" s="1"/>
      <c r="N5" s="1"/>
      <c r="O5" s="1"/>
      <c r="P5" s="1"/>
      <c r="Q5" s="1"/>
      <c r="R5" s="1"/>
      <c r="S5" s="1"/>
      <c r="T5" s="1"/>
      <c r="U5" s="1"/>
      <c r="V5" s="1"/>
    </row>
    <row r="6" spans="1:22" ht="15" customHeight="1">
      <c r="A6" s="1500" t="s">
        <v>3150</v>
      </c>
      <c r="B6" s="1500"/>
      <c r="C6" s="1500"/>
      <c r="D6" s="1500"/>
      <c r="E6" s="1541" t="s">
        <v>365</v>
      </c>
      <c r="F6" s="1541"/>
      <c r="G6" s="1541"/>
      <c r="H6" s="1546" t="s">
        <v>7</v>
      </c>
      <c r="I6" s="1547"/>
      <c r="J6" s="1547"/>
      <c r="K6" s="1541" t="s">
        <v>8</v>
      </c>
      <c r="L6" s="1541"/>
      <c r="M6" s="1541"/>
      <c r="N6" s="1541"/>
      <c r="O6" s="1541"/>
      <c r="P6" s="1541"/>
      <c r="Q6" s="1541"/>
      <c r="R6" s="1541"/>
      <c r="S6" s="1541"/>
      <c r="T6" s="1541" t="s">
        <v>366</v>
      </c>
      <c r="U6" s="1541"/>
      <c r="V6" s="1541"/>
    </row>
    <row r="7" spans="1:22" ht="78" customHeight="1">
      <c r="A7" s="218" t="s">
        <v>1691</v>
      </c>
      <c r="B7" s="7" t="s">
        <v>2701</v>
      </c>
      <c r="C7" s="7" t="s">
        <v>12</v>
      </c>
      <c r="D7" s="118" t="s">
        <v>13</v>
      </c>
      <c r="E7" s="7" t="s">
        <v>14</v>
      </c>
      <c r="F7" s="7" t="s">
        <v>2937</v>
      </c>
      <c r="G7" s="7" t="s">
        <v>15</v>
      </c>
      <c r="H7" s="119" t="s">
        <v>1692</v>
      </c>
      <c r="I7" s="119" t="s">
        <v>1693</v>
      </c>
      <c r="J7" s="119" t="s">
        <v>1694</v>
      </c>
      <c r="K7" s="120" t="s">
        <v>1695</v>
      </c>
      <c r="L7" s="120" t="s">
        <v>379</v>
      </c>
      <c r="M7" s="7" t="s">
        <v>2942</v>
      </c>
      <c r="N7" s="7" t="s">
        <v>3148</v>
      </c>
      <c r="O7" s="120" t="s">
        <v>1696</v>
      </c>
      <c r="P7" s="7" t="s">
        <v>381</v>
      </c>
      <c r="Q7" s="121" t="s">
        <v>362</v>
      </c>
      <c r="R7" s="122"/>
      <c r="S7" s="122" t="s">
        <v>27</v>
      </c>
      <c r="T7" s="120" t="s">
        <v>1697</v>
      </c>
      <c r="U7" s="7" t="s">
        <v>2936</v>
      </c>
      <c r="V7" s="1388" t="s">
        <v>2935</v>
      </c>
    </row>
    <row r="8" spans="1:22" ht="18.600000000000001" customHeight="1">
      <c r="A8" s="1542" t="s">
        <v>2867</v>
      </c>
      <c r="B8" s="1542"/>
      <c r="C8" s="1542"/>
      <c r="D8" s="1542"/>
      <c r="E8" s="1542"/>
      <c r="F8" s="1542"/>
      <c r="G8" s="1542"/>
      <c r="H8" s="1542"/>
      <c r="I8" s="1542"/>
      <c r="J8" s="1542"/>
      <c r="K8" s="1542"/>
      <c r="L8" s="1542"/>
      <c r="M8" s="1542"/>
      <c r="N8" s="1542"/>
      <c r="O8" s="1542"/>
      <c r="P8" s="1542"/>
      <c r="Q8" s="1542"/>
      <c r="R8" s="1542"/>
      <c r="S8" s="1542"/>
      <c r="T8" s="1542"/>
      <c r="U8" s="1542"/>
      <c r="V8" s="1543"/>
    </row>
    <row r="9" spans="1:22" ht="78" customHeight="1">
      <c r="A9" s="360" t="s">
        <v>1699</v>
      </c>
      <c r="B9" s="313" t="s">
        <v>33</v>
      </c>
      <c r="C9" s="239" t="s">
        <v>1292</v>
      </c>
      <c r="D9" s="323" t="s">
        <v>918</v>
      </c>
      <c r="E9" s="300" t="s">
        <v>1700</v>
      </c>
      <c r="F9" s="300" t="s">
        <v>489</v>
      </c>
      <c r="G9" s="285" t="s">
        <v>1701</v>
      </c>
      <c r="H9" s="410" t="s">
        <v>1702</v>
      </c>
      <c r="I9" s="316"/>
      <c r="J9" s="1092">
        <v>4680000</v>
      </c>
      <c r="K9" s="1092">
        <v>2350300</v>
      </c>
      <c r="L9" s="1092">
        <v>600000</v>
      </c>
      <c r="M9" s="348" t="s">
        <v>85</v>
      </c>
      <c r="N9" s="316"/>
      <c r="O9" s="1085">
        <f>L9/0.112194</f>
        <v>5347879.5657521794</v>
      </c>
      <c r="P9" s="1091"/>
      <c r="Q9" s="316"/>
      <c r="R9" s="316"/>
      <c r="S9" s="316"/>
      <c r="T9" s="300" t="s">
        <v>1703</v>
      </c>
      <c r="U9" s="243" t="s">
        <v>30</v>
      </c>
      <c r="V9" s="239" t="s">
        <v>1698</v>
      </c>
    </row>
    <row r="10" spans="1:22" ht="118.5" customHeight="1">
      <c r="A10" s="484" t="s">
        <v>1705</v>
      </c>
      <c r="B10" s="287" t="s">
        <v>33</v>
      </c>
      <c r="C10" s="286" t="s">
        <v>1706</v>
      </c>
      <c r="D10" s="563" t="s">
        <v>918</v>
      </c>
      <c r="E10" s="564" t="s">
        <v>1707</v>
      </c>
      <c r="F10" s="485" t="s">
        <v>1708</v>
      </c>
      <c r="G10" s="285" t="s">
        <v>1709</v>
      </c>
      <c r="H10" s="565" t="s">
        <v>1710</v>
      </c>
      <c r="I10" s="1440" t="s">
        <v>1711</v>
      </c>
      <c r="J10" s="1338">
        <v>696000</v>
      </c>
      <c r="K10" s="1087">
        <f>J10*0.6</f>
        <v>417600</v>
      </c>
      <c r="L10" s="1087">
        <v>152424</v>
      </c>
      <c r="M10" s="484" t="s">
        <v>85</v>
      </c>
      <c r="N10" s="487"/>
      <c r="O10" s="1098">
        <f>L10/0.112194</f>
        <v>1358575.3248836836</v>
      </c>
      <c r="P10" s="1349"/>
      <c r="Q10" s="524"/>
      <c r="R10" s="566"/>
      <c r="S10" s="567">
        <v>0</v>
      </c>
      <c r="T10" s="568"/>
      <c r="U10" s="285" t="s">
        <v>157</v>
      </c>
      <c r="V10" s="286" t="s">
        <v>1704</v>
      </c>
    </row>
    <row r="11" spans="1:22" ht="78" customHeight="1">
      <c r="A11" s="287" t="s">
        <v>1713</v>
      </c>
      <c r="B11" s="484" t="s">
        <v>33</v>
      </c>
      <c r="C11" s="239" t="s">
        <v>1714</v>
      </c>
      <c r="D11" s="244" t="s">
        <v>35</v>
      </c>
      <c r="E11" s="248">
        <v>2016</v>
      </c>
      <c r="F11" s="239" t="s">
        <v>1715</v>
      </c>
      <c r="G11" s="239" t="s">
        <v>2870</v>
      </c>
      <c r="H11" s="569" t="s">
        <v>1716</v>
      </c>
      <c r="I11" s="570" t="s">
        <v>1717</v>
      </c>
      <c r="J11" s="1339"/>
      <c r="K11" s="1340">
        <f>L11/( 0.001 * 365*0.9)</f>
        <v>5806.0821917808216</v>
      </c>
      <c r="L11" s="1086">
        <f>O11*0.112194</f>
        <v>1907.298</v>
      </c>
      <c r="M11" s="241" t="s">
        <v>43</v>
      </c>
      <c r="N11" s="316"/>
      <c r="O11" s="1087">
        <v>17000</v>
      </c>
      <c r="P11" s="1344">
        <v>200750</v>
      </c>
      <c r="Q11" s="300" t="s">
        <v>1718</v>
      </c>
      <c r="R11" s="248"/>
      <c r="S11" s="248" t="s">
        <v>29</v>
      </c>
      <c r="T11" s="248"/>
      <c r="U11" s="243" t="s">
        <v>30</v>
      </c>
      <c r="V11" s="239" t="s">
        <v>1712</v>
      </c>
    </row>
    <row r="12" spans="1:22" ht="78" customHeight="1">
      <c r="A12" s="241" t="s">
        <v>1720</v>
      </c>
      <c r="B12" s="484" t="s">
        <v>33</v>
      </c>
      <c r="C12" s="239" t="s">
        <v>283</v>
      </c>
      <c r="D12" s="244" t="s">
        <v>35</v>
      </c>
      <c r="E12" s="572">
        <v>43160</v>
      </c>
      <c r="F12" s="249" t="s">
        <v>1721</v>
      </c>
      <c r="G12" s="239" t="s">
        <v>2871</v>
      </c>
      <c r="H12" s="571"/>
      <c r="I12" s="569" t="s">
        <v>1722</v>
      </c>
      <c r="J12" s="1339"/>
      <c r="K12" s="1340">
        <f>L12/( 0.001 * 365*0.9)</f>
        <v>51230.136986301361</v>
      </c>
      <c r="L12" s="1086">
        <f>O12*0.112194</f>
        <v>16829.099999999999</v>
      </c>
      <c r="M12" s="241" t="s">
        <v>43</v>
      </c>
      <c r="N12" s="316" t="s">
        <v>1723</v>
      </c>
      <c r="O12" s="1354">
        <v>150000</v>
      </c>
      <c r="P12" s="1344">
        <v>200000</v>
      </c>
      <c r="Q12" s="239"/>
      <c r="R12" s="248"/>
      <c r="S12" s="248"/>
      <c r="T12" s="442">
        <v>3000</v>
      </c>
      <c r="U12" s="243" t="s">
        <v>157</v>
      </c>
      <c r="V12" s="286" t="s">
        <v>1719</v>
      </c>
    </row>
    <row r="13" spans="1:22" ht="47.25" customHeight="1">
      <c r="A13" s="241" t="s">
        <v>1725</v>
      </c>
      <c r="B13" s="484" t="s">
        <v>33</v>
      </c>
      <c r="C13" s="239" t="s">
        <v>1726</v>
      </c>
      <c r="D13" s="244" t="s">
        <v>35</v>
      </c>
      <c r="E13" s="574">
        <v>43070</v>
      </c>
      <c r="F13" s="249" t="s">
        <v>968</v>
      </c>
      <c r="G13" s="239" t="s">
        <v>1727</v>
      </c>
      <c r="H13" s="570" t="s">
        <v>1728</v>
      </c>
      <c r="I13" s="570" t="s">
        <v>1729</v>
      </c>
      <c r="J13" s="1339"/>
      <c r="K13" s="1087">
        <v>36000</v>
      </c>
      <c r="L13" s="1340">
        <f>K13*(0.001*0.9*365)</f>
        <v>11826</v>
      </c>
      <c r="M13" s="242" t="s">
        <v>43</v>
      </c>
      <c r="N13" s="239" t="s">
        <v>1730</v>
      </c>
      <c r="O13" s="1340">
        <f>L13/0.112194</f>
        <v>105406.70624097546</v>
      </c>
      <c r="P13" s="1110"/>
      <c r="Q13" s="248"/>
      <c r="R13" s="350"/>
      <c r="S13" s="300" t="s">
        <v>29</v>
      </c>
      <c r="T13" s="239"/>
      <c r="U13" s="243" t="s">
        <v>157</v>
      </c>
      <c r="V13" s="239" t="s">
        <v>1724</v>
      </c>
    </row>
    <row r="14" spans="1:22" ht="84.75" customHeight="1">
      <c r="A14" s="241" t="s">
        <v>1731</v>
      </c>
      <c r="B14" s="484" t="s">
        <v>33</v>
      </c>
      <c r="C14" s="239" t="s">
        <v>804</v>
      </c>
      <c r="D14" s="244" t="s">
        <v>35</v>
      </c>
      <c r="E14" s="300" t="s">
        <v>1732</v>
      </c>
      <c r="F14" s="239" t="s">
        <v>1733</v>
      </c>
      <c r="G14" s="300" t="s">
        <v>1734</v>
      </c>
      <c r="H14" s="300" t="s">
        <v>1735</v>
      </c>
      <c r="I14" s="300" t="s">
        <v>1736</v>
      </c>
      <c r="J14" s="1105"/>
      <c r="K14" s="1098">
        <f>L14/( 0.001 * 365*0.9)</f>
        <v>162058</v>
      </c>
      <c r="L14" s="1093">
        <f>O14*0.112194</f>
        <v>53236.053</v>
      </c>
      <c r="M14" s="360" t="s">
        <v>43</v>
      </c>
      <c r="N14" s="308"/>
      <c r="O14" s="1092">
        <f>1300*365</f>
        <v>474500</v>
      </c>
      <c r="P14" s="1092">
        <v>730000</v>
      </c>
      <c r="Q14" s="239"/>
      <c r="R14" s="239"/>
      <c r="S14" s="239" t="s">
        <v>1737</v>
      </c>
      <c r="T14" s="258" t="s">
        <v>2880</v>
      </c>
      <c r="U14" s="243" t="s">
        <v>157</v>
      </c>
      <c r="V14" s="286" t="s">
        <v>2879</v>
      </c>
    </row>
    <row r="15" spans="1:22" ht="78" customHeight="1">
      <c r="A15" s="360" t="s">
        <v>1739</v>
      </c>
      <c r="B15" s="484" t="s">
        <v>33</v>
      </c>
      <c r="C15" s="239" t="s">
        <v>59</v>
      </c>
      <c r="D15" s="244" t="s">
        <v>35</v>
      </c>
      <c r="E15" s="248">
        <v>2012</v>
      </c>
      <c r="F15" s="249" t="s">
        <v>1740</v>
      </c>
      <c r="G15" s="249" t="s">
        <v>1741</v>
      </c>
      <c r="H15" s="571" t="s">
        <v>1742</v>
      </c>
      <c r="I15" s="518" t="s">
        <v>1743</v>
      </c>
      <c r="J15" s="1341">
        <v>1205000</v>
      </c>
      <c r="K15" s="1087">
        <v>602000</v>
      </c>
      <c r="L15" s="1341">
        <v>219584</v>
      </c>
      <c r="M15" s="241" t="s">
        <v>85</v>
      </c>
      <c r="N15" s="316"/>
      <c r="O15" s="1340">
        <f>L15/0.112194</f>
        <v>1957181.3109435441</v>
      </c>
      <c r="P15" s="1355"/>
      <c r="Q15" s="518" t="s">
        <v>1744</v>
      </c>
      <c r="R15" s="340"/>
      <c r="S15" s="340" t="s">
        <v>1745</v>
      </c>
      <c r="T15" s="345"/>
      <c r="U15" s="243" t="s">
        <v>30</v>
      </c>
      <c r="V15" s="249" t="s">
        <v>1738</v>
      </c>
    </row>
    <row r="16" spans="1:22" ht="50.25" customHeight="1">
      <c r="A16" s="484" t="s">
        <v>1887</v>
      </c>
      <c r="B16" s="287" t="s">
        <v>33</v>
      </c>
      <c r="C16" s="308" t="s">
        <v>77</v>
      </c>
      <c r="D16" s="376" t="s">
        <v>35</v>
      </c>
      <c r="E16" s="882" t="s">
        <v>2143</v>
      </c>
      <c r="F16" s="266" t="s">
        <v>1888</v>
      </c>
      <c r="G16" s="272" t="s">
        <v>1889</v>
      </c>
      <c r="H16" s="308"/>
      <c r="I16" s="575" t="s">
        <v>1890</v>
      </c>
      <c r="J16" s="1340">
        <f>K16/0.6</f>
        <v>1297830.1369863013</v>
      </c>
      <c r="K16" s="1340">
        <f>L16/(0.001*365*0.9)</f>
        <v>778698.08219178079</v>
      </c>
      <c r="L16" s="1340">
        <f>O16*0.112194</f>
        <v>255802.32</v>
      </c>
      <c r="M16" s="562" t="s">
        <v>85</v>
      </c>
      <c r="N16" s="308"/>
      <c r="O16" s="1356">
        <f>2000000*1.14</f>
        <v>2280000</v>
      </c>
      <c r="P16" s="1084"/>
      <c r="Q16" s="882" t="s">
        <v>2144</v>
      </c>
      <c r="R16" s="576"/>
      <c r="S16" s="308"/>
      <c r="T16" s="312" t="s">
        <v>1891</v>
      </c>
      <c r="U16" s="243" t="s">
        <v>30</v>
      </c>
      <c r="V16" s="286" t="s">
        <v>2466</v>
      </c>
    </row>
    <row r="17" spans="1:22" ht="50.25" customHeight="1">
      <c r="A17" s="484" t="s">
        <v>1881</v>
      </c>
      <c r="B17" s="287" t="s">
        <v>33</v>
      </c>
      <c r="C17" s="594" t="s">
        <v>1882</v>
      </c>
      <c r="D17" s="595" t="s">
        <v>35</v>
      </c>
      <c r="E17" s="741">
        <v>45063</v>
      </c>
      <c r="F17" s="596" t="s">
        <v>1883</v>
      </c>
      <c r="G17" s="596" t="s">
        <v>2698</v>
      </c>
      <c r="H17" s="415" t="s">
        <v>1884</v>
      </c>
      <c r="I17" s="364"/>
      <c r="J17" s="1096"/>
      <c r="K17" s="1096"/>
      <c r="L17" s="1364">
        <v>78536</v>
      </c>
      <c r="M17" s="378" t="s">
        <v>43</v>
      </c>
      <c r="N17" s="315" t="s">
        <v>1885</v>
      </c>
      <c r="O17" s="1096"/>
      <c r="P17" s="1364">
        <v>700000</v>
      </c>
      <c r="Q17" s="315" t="s">
        <v>1886</v>
      </c>
      <c r="R17" s="714"/>
      <c r="S17" s="364"/>
      <c r="T17" s="719" t="s">
        <v>2598</v>
      </c>
      <c r="U17" s="243" t="s">
        <v>30</v>
      </c>
      <c r="V17" s="386" t="s">
        <v>1880</v>
      </c>
    </row>
    <row r="18" spans="1:22" ht="58.5" customHeight="1">
      <c r="A18" s="287" t="s">
        <v>1747</v>
      </c>
      <c r="B18" s="484" t="s">
        <v>33</v>
      </c>
      <c r="C18" s="286" t="s">
        <v>1748</v>
      </c>
      <c r="D18" s="563" t="s">
        <v>296</v>
      </c>
      <c r="E18" s="287"/>
      <c r="F18" s="272" t="s">
        <v>1749</v>
      </c>
      <c r="G18" s="577" t="s">
        <v>1750</v>
      </c>
      <c r="H18" s="334" t="s">
        <v>1751</v>
      </c>
      <c r="I18" s="334" t="s">
        <v>1752</v>
      </c>
      <c r="J18" s="1086">
        <f>(K18/6)*10</f>
        <v>65460.730593607295</v>
      </c>
      <c r="K18" s="1086">
        <f>L18/( 0.001 * 365*0.9)</f>
        <v>39276.438356164377</v>
      </c>
      <c r="L18" s="1086">
        <f>O18*0.112194</f>
        <v>12902.31</v>
      </c>
      <c r="M18" s="1067" t="s">
        <v>43</v>
      </c>
      <c r="N18" s="340" t="s">
        <v>1753</v>
      </c>
      <c r="O18" s="1119">
        <v>115000</v>
      </c>
      <c r="P18" s="1089"/>
      <c r="Q18" s="267" t="s">
        <v>1754</v>
      </c>
      <c r="R18" s="578"/>
      <c r="S18" s="579"/>
      <c r="T18" s="580" t="s">
        <v>1755</v>
      </c>
      <c r="U18" s="243" t="s">
        <v>30</v>
      </c>
      <c r="V18" s="286" t="s">
        <v>1746</v>
      </c>
    </row>
    <row r="19" spans="1:22" ht="72" customHeight="1">
      <c r="A19" s="382" t="s">
        <v>1757</v>
      </c>
      <c r="B19" s="484" t="s">
        <v>33</v>
      </c>
      <c r="C19" s="363" t="s">
        <v>1758</v>
      </c>
      <c r="D19" s="383" t="s">
        <v>296</v>
      </c>
      <c r="E19" s="581">
        <v>42095</v>
      </c>
      <c r="F19" s="386" t="s">
        <v>481</v>
      </c>
      <c r="G19" s="363" t="s">
        <v>1759</v>
      </c>
      <c r="H19" s="569" t="s">
        <v>1760</v>
      </c>
      <c r="I19" s="569" t="s">
        <v>1761</v>
      </c>
      <c r="J19" s="1342"/>
      <c r="K19" s="1087">
        <v>34843</v>
      </c>
      <c r="L19" s="1086">
        <f>O19*0.112194</f>
        <v>11443.788</v>
      </c>
      <c r="M19" s="382" t="s">
        <v>43</v>
      </c>
      <c r="N19" s="316"/>
      <c r="O19" s="1087">
        <v>102000</v>
      </c>
      <c r="P19" s="1357">
        <v>182500</v>
      </c>
      <c r="Q19" s="363"/>
      <c r="R19" s="436"/>
      <c r="S19" s="436" t="s">
        <v>29</v>
      </c>
      <c r="T19" s="350" t="s">
        <v>1762</v>
      </c>
      <c r="U19" s="243" t="s">
        <v>30</v>
      </c>
      <c r="V19" s="833" t="s">
        <v>1756</v>
      </c>
    </row>
    <row r="20" spans="1:22" ht="32.25" customHeight="1">
      <c r="A20" s="241" t="s">
        <v>1764</v>
      </c>
      <c r="B20" s="360" t="s">
        <v>33</v>
      </c>
      <c r="C20" s="239" t="s">
        <v>1748</v>
      </c>
      <c r="D20" s="244" t="s">
        <v>1765</v>
      </c>
      <c r="E20" s="582">
        <v>43831</v>
      </c>
      <c r="F20" s="415" t="s">
        <v>1766</v>
      </c>
      <c r="G20" s="272" t="s">
        <v>1767</v>
      </c>
      <c r="H20" s="415" t="s">
        <v>1768</v>
      </c>
      <c r="I20" s="415" t="s">
        <v>1769</v>
      </c>
      <c r="J20" s="1092">
        <v>171780</v>
      </c>
      <c r="K20" s="1092">
        <f>J20*0.55</f>
        <v>94479.000000000015</v>
      </c>
      <c r="L20" s="1092">
        <v>34485</v>
      </c>
      <c r="M20" s="331" t="s">
        <v>43</v>
      </c>
      <c r="N20" s="316"/>
      <c r="O20" s="1085">
        <f t="shared" ref="O20:O29" si="0">L20/0.112194</f>
        <v>307369.37804160651</v>
      </c>
      <c r="P20" s="1355"/>
      <c r="Q20" s="239"/>
      <c r="R20" s="415"/>
      <c r="S20" s="248"/>
      <c r="T20" s="333"/>
      <c r="U20" s="243" t="s">
        <v>157</v>
      </c>
      <c r="V20" s="507" t="s">
        <v>1763</v>
      </c>
    </row>
    <row r="21" spans="1:22" ht="78" customHeight="1">
      <c r="A21" s="419" t="s">
        <v>1771</v>
      </c>
      <c r="B21" s="484" t="s">
        <v>33</v>
      </c>
      <c r="C21" s="308" t="s">
        <v>1772</v>
      </c>
      <c r="D21" s="376" t="s">
        <v>1765</v>
      </c>
      <c r="E21" s="308" t="s">
        <v>1773</v>
      </c>
      <c r="F21" s="286" t="s">
        <v>1771</v>
      </c>
      <c r="G21" s="300" t="s">
        <v>1774</v>
      </c>
      <c r="H21" s="315" t="s">
        <v>1775</v>
      </c>
      <c r="I21" s="315" t="s">
        <v>1776</v>
      </c>
      <c r="J21" s="1086">
        <f>K21/0.6</f>
        <v>365296.80365296802</v>
      </c>
      <c r="K21" s="1086">
        <f>L21/( 0.001 * 365*0.9)</f>
        <v>219178.08219178082</v>
      </c>
      <c r="L21" s="1092">
        <v>72000</v>
      </c>
      <c r="M21" s="673" t="s">
        <v>85</v>
      </c>
      <c r="N21" s="315" t="s">
        <v>0</v>
      </c>
      <c r="O21" s="1085">
        <f t="shared" si="0"/>
        <v>641745.54789026151</v>
      </c>
      <c r="P21" s="1084"/>
      <c r="Q21" s="308"/>
      <c r="R21" s="300"/>
      <c r="S21" s="308" t="s">
        <v>1435</v>
      </c>
      <c r="T21" s="308"/>
      <c r="U21" s="243" t="s">
        <v>30</v>
      </c>
      <c r="V21" s="485" t="s">
        <v>1770</v>
      </c>
    </row>
    <row r="22" spans="1:22" ht="78" customHeight="1">
      <c r="A22" s="241" t="s">
        <v>1778</v>
      </c>
      <c r="B22" s="484" t="s">
        <v>33</v>
      </c>
      <c r="C22" s="239" t="s">
        <v>1779</v>
      </c>
      <c r="D22" s="244" t="s">
        <v>870</v>
      </c>
      <c r="E22" s="248" t="s">
        <v>1780</v>
      </c>
      <c r="F22" s="249" t="s">
        <v>1781</v>
      </c>
      <c r="G22" s="267" t="s">
        <v>1782</v>
      </c>
      <c r="H22" s="518"/>
      <c r="I22" s="268" t="s">
        <v>1783</v>
      </c>
      <c r="J22" s="1093">
        <f>K22/0.6</f>
        <v>405885.33739218669</v>
      </c>
      <c r="K22" s="1340">
        <f>80000/(0.001*365*0.9)</f>
        <v>243531.20243531201</v>
      </c>
      <c r="L22" s="1087">
        <v>80000</v>
      </c>
      <c r="M22" s="287" t="s">
        <v>85</v>
      </c>
      <c r="N22" s="308"/>
      <c r="O22" s="1340">
        <f t="shared" si="0"/>
        <v>713050.60876695719</v>
      </c>
      <c r="P22" s="1084"/>
      <c r="Q22" s="285" t="s">
        <v>1784</v>
      </c>
      <c r="R22" s="249"/>
      <c r="S22" s="248"/>
      <c r="T22" s="239"/>
      <c r="U22" s="243" t="s">
        <v>157</v>
      </c>
      <c r="V22" s="249" t="s">
        <v>1777</v>
      </c>
    </row>
    <row r="23" spans="1:22" ht="78" customHeight="1">
      <c r="A23" s="287" t="s">
        <v>2189</v>
      </c>
      <c r="B23" s="484" t="s">
        <v>33</v>
      </c>
      <c r="C23" s="286" t="s">
        <v>2194</v>
      </c>
      <c r="D23" s="499" t="s">
        <v>221</v>
      </c>
      <c r="E23" s="486" t="s">
        <v>2246</v>
      </c>
      <c r="F23" s="485" t="s">
        <v>2195</v>
      </c>
      <c r="G23" s="267" t="s">
        <v>2197</v>
      </c>
      <c r="H23" s="657"/>
      <c r="I23" s="268" t="s">
        <v>2244</v>
      </c>
      <c r="J23" s="1093">
        <f>K23/0.6</f>
        <v>2685185.1851851852</v>
      </c>
      <c r="K23" s="1086">
        <f>L23/( 0.001 * 365*0.9)</f>
        <v>1611111.111111111</v>
      </c>
      <c r="L23" s="1343">
        <f>1450*365</f>
        <v>529250</v>
      </c>
      <c r="M23" s="374" t="s">
        <v>85</v>
      </c>
      <c r="N23" s="308" t="s">
        <v>0</v>
      </c>
      <c r="O23" s="1340">
        <f t="shared" si="0"/>
        <v>4717275.4336239016</v>
      </c>
      <c r="P23" s="1340">
        <f>((2250*60*24*0.65)*(0.001*365*0.9))/0.112194</f>
        <v>6166292.3150970638</v>
      </c>
      <c r="Q23" s="285" t="s">
        <v>2245</v>
      </c>
      <c r="R23" s="297"/>
      <c r="S23" s="486"/>
      <c r="T23" s="286"/>
      <c r="U23" s="286"/>
      <c r="V23" s="485" t="s">
        <v>2196</v>
      </c>
    </row>
    <row r="24" spans="1:22" ht="78" customHeight="1">
      <c r="A24" s="360" t="s">
        <v>1786</v>
      </c>
      <c r="B24" s="484" t="s">
        <v>33</v>
      </c>
      <c r="C24" s="316" t="s">
        <v>405</v>
      </c>
      <c r="D24" s="323" t="s">
        <v>221</v>
      </c>
      <c r="E24" s="431">
        <v>43040</v>
      </c>
      <c r="F24" s="239" t="s">
        <v>1787</v>
      </c>
      <c r="G24" s="239" t="s">
        <v>1788</v>
      </c>
      <c r="H24" s="410" t="s">
        <v>1789</v>
      </c>
      <c r="I24" s="300" t="s">
        <v>1790</v>
      </c>
      <c r="J24" s="1087">
        <v>300000</v>
      </c>
      <c r="K24" s="1087">
        <v>215000</v>
      </c>
      <c r="L24" s="1087">
        <v>80000</v>
      </c>
      <c r="M24" s="241" t="s">
        <v>85</v>
      </c>
      <c r="N24" s="316"/>
      <c r="O24" s="1086">
        <f t="shared" si="0"/>
        <v>713050.60876695719</v>
      </c>
      <c r="P24" s="1091"/>
      <c r="Q24" s="300" t="s">
        <v>1791</v>
      </c>
      <c r="R24" s="300"/>
      <c r="S24" s="316" t="s">
        <v>1792</v>
      </c>
      <c r="T24" s="316"/>
      <c r="U24" s="243" t="s">
        <v>30</v>
      </c>
      <c r="V24" s="239" t="s">
        <v>1785</v>
      </c>
    </row>
    <row r="25" spans="1:22" ht="78" customHeight="1">
      <c r="A25" s="360" t="s">
        <v>1794</v>
      </c>
      <c r="B25" s="360" t="s">
        <v>33</v>
      </c>
      <c r="C25" s="316" t="s">
        <v>1795</v>
      </c>
      <c r="D25" s="323" t="s">
        <v>221</v>
      </c>
      <c r="E25" s="583" t="s">
        <v>1796</v>
      </c>
      <c r="F25" s="415" t="s">
        <v>1797</v>
      </c>
      <c r="G25" s="300" t="s">
        <v>1798</v>
      </c>
      <c r="H25" s="315" t="s">
        <v>1799</v>
      </c>
      <c r="I25" s="315" t="s">
        <v>1800</v>
      </c>
      <c r="J25" s="1120">
        <v>1152000</v>
      </c>
      <c r="K25" s="1085">
        <f>J25*0.6</f>
        <v>691200</v>
      </c>
      <c r="L25" s="1085">
        <f>K25*(0.001*365*0.9)</f>
        <v>227059.20000000001</v>
      </c>
      <c r="M25" s="242" t="s">
        <v>85</v>
      </c>
      <c r="N25" s="335" t="s">
        <v>0</v>
      </c>
      <c r="O25" s="1085">
        <f t="shared" si="0"/>
        <v>2023808.7598267288</v>
      </c>
      <c r="P25" s="1091"/>
      <c r="Q25" s="316"/>
      <c r="R25" s="315"/>
      <c r="S25" s="316"/>
      <c r="T25" s="316"/>
      <c r="U25" s="316"/>
      <c r="V25" s="286" t="s">
        <v>1793</v>
      </c>
    </row>
    <row r="26" spans="1:22" ht="78" customHeight="1">
      <c r="A26" s="585" t="s">
        <v>1892</v>
      </c>
      <c r="B26" s="597" t="s">
        <v>33</v>
      </c>
      <c r="C26" s="363" t="s">
        <v>431</v>
      </c>
      <c r="D26" s="449" t="s">
        <v>428</v>
      </c>
      <c r="E26" s="598" t="s">
        <v>2615</v>
      </c>
      <c r="F26" s="386" t="s">
        <v>1893</v>
      </c>
      <c r="G26" s="285" t="s">
        <v>1894</v>
      </c>
      <c r="H26" s="575" t="s">
        <v>1895</v>
      </c>
      <c r="I26" s="1441" t="s">
        <v>1768</v>
      </c>
      <c r="J26" s="1344">
        <v>300000</v>
      </c>
      <c r="K26" s="1093">
        <f>J26*0.62</f>
        <v>186000</v>
      </c>
      <c r="L26" s="1093">
        <f>K26*0.001*365*0.9</f>
        <v>61101</v>
      </c>
      <c r="M26" s="599" t="s">
        <v>85</v>
      </c>
      <c r="N26" s="354" t="s">
        <v>0</v>
      </c>
      <c r="O26" s="1096"/>
      <c r="P26" s="1098">
        <f>L26/0.112194</f>
        <v>544601.31557837315</v>
      </c>
      <c r="Q26" s="662"/>
      <c r="R26" s="592"/>
      <c r="S26" s="1391" t="s">
        <v>29</v>
      </c>
      <c r="T26" s="600"/>
      <c r="U26" s="383" t="s">
        <v>1896</v>
      </c>
      <c r="V26" s="286" t="s">
        <v>2614</v>
      </c>
    </row>
    <row r="27" spans="1:22" ht="78" customHeight="1">
      <c r="A27" s="382" t="s">
        <v>1802</v>
      </c>
      <c r="B27" s="484" t="s">
        <v>33</v>
      </c>
      <c r="C27" s="363" t="s">
        <v>1803</v>
      </c>
      <c r="D27" s="383" t="s">
        <v>1804</v>
      </c>
      <c r="E27" s="581" t="s">
        <v>520</v>
      </c>
      <c r="F27" s="267" t="s">
        <v>1805</v>
      </c>
      <c r="G27" s="272" t="s">
        <v>1806</v>
      </c>
      <c r="H27" s="569" t="s">
        <v>1807</v>
      </c>
      <c r="I27" s="569" t="s">
        <v>1808</v>
      </c>
      <c r="J27" s="1341" t="s">
        <v>1809</v>
      </c>
      <c r="K27" s="1087" t="s">
        <v>1810</v>
      </c>
      <c r="L27" s="1341">
        <v>420000</v>
      </c>
      <c r="M27" s="242" t="s">
        <v>85</v>
      </c>
      <c r="N27" s="935" t="s">
        <v>0</v>
      </c>
      <c r="O27" s="1093">
        <f t="shared" si="0"/>
        <v>3743515.6960265255</v>
      </c>
      <c r="P27" s="1108"/>
      <c r="Q27" s="436"/>
      <c r="R27" s="285"/>
      <c r="S27" s="363"/>
      <c r="T27" s="363"/>
      <c r="U27" s="243" t="s">
        <v>30</v>
      </c>
      <c r="V27" s="363" t="s">
        <v>1801</v>
      </c>
    </row>
    <row r="28" spans="1:22" ht="78" customHeight="1">
      <c r="A28" s="584" t="s">
        <v>2131</v>
      </c>
      <c r="B28" s="382" t="s">
        <v>33</v>
      </c>
      <c r="C28" s="364" t="s">
        <v>1614</v>
      </c>
      <c r="D28" s="365" t="s">
        <v>314</v>
      </c>
      <c r="E28" s="364">
        <v>2019</v>
      </c>
      <c r="F28" s="363" t="s">
        <v>1812</v>
      </c>
      <c r="G28" s="271" t="s">
        <v>1813</v>
      </c>
      <c r="H28" s="415" t="s">
        <v>1814</v>
      </c>
      <c r="I28" s="415" t="s">
        <v>1815</v>
      </c>
      <c r="J28" s="1092">
        <f>500*60*24</f>
        <v>720000</v>
      </c>
      <c r="K28" s="1085">
        <f>J28*0.6</f>
        <v>432000</v>
      </c>
      <c r="L28" s="1085">
        <f>K28*0.001*365*0.9</f>
        <v>141912</v>
      </c>
      <c r="M28" s="378" t="s">
        <v>85</v>
      </c>
      <c r="N28" s="315" t="s">
        <v>29</v>
      </c>
      <c r="O28" s="1085">
        <f t="shared" si="0"/>
        <v>1264880.4748917054</v>
      </c>
      <c r="P28" s="1096"/>
      <c r="Q28" s="364"/>
      <c r="R28" s="364"/>
      <c r="S28" s="363" t="s">
        <v>1816</v>
      </c>
      <c r="T28" s="364"/>
      <c r="U28" s="243" t="s">
        <v>30</v>
      </c>
      <c r="V28" s="363" t="s">
        <v>1811</v>
      </c>
    </row>
    <row r="29" spans="1:22" ht="78" customHeight="1">
      <c r="A29" s="419" t="s">
        <v>1818</v>
      </c>
      <c r="B29" s="287" t="s">
        <v>33</v>
      </c>
      <c r="C29" s="308" t="s">
        <v>1638</v>
      </c>
      <c r="D29" s="376" t="s">
        <v>180</v>
      </c>
      <c r="E29" s="315" t="s">
        <v>1819</v>
      </c>
      <c r="F29" s="286" t="s">
        <v>1820</v>
      </c>
      <c r="G29" s="300" t="s">
        <v>1821</v>
      </c>
      <c r="H29" s="315" t="s">
        <v>1822</v>
      </c>
      <c r="I29" s="315" t="s">
        <v>1823</v>
      </c>
      <c r="J29" s="1092">
        <v>400000</v>
      </c>
      <c r="K29" s="1092">
        <f>J29*0.6</f>
        <v>240000</v>
      </c>
      <c r="L29" s="1085">
        <f>K29*0.001*365*0.9</f>
        <v>78840</v>
      </c>
      <c r="M29" s="378" t="s">
        <v>85</v>
      </c>
      <c r="N29" s="308" t="s">
        <v>29</v>
      </c>
      <c r="O29" s="1085">
        <f t="shared" si="0"/>
        <v>702711.37493983633</v>
      </c>
      <c r="P29" s="1084"/>
      <c r="Q29" s="308"/>
      <c r="R29" s="272"/>
      <c r="S29" s="308"/>
      <c r="T29" s="308"/>
      <c r="U29" s="243" t="s">
        <v>30</v>
      </c>
      <c r="V29" s="286" t="s">
        <v>1817</v>
      </c>
    </row>
    <row r="30" spans="1:22" ht="61.5" customHeight="1">
      <c r="A30" s="585" t="s">
        <v>1824</v>
      </c>
      <c r="B30" s="484" t="s">
        <v>33</v>
      </c>
      <c r="C30" s="364" t="s">
        <v>2959</v>
      </c>
      <c r="D30" s="365" t="s">
        <v>180</v>
      </c>
      <c r="E30" s="272" t="s">
        <v>1826</v>
      </c>
      <c r="F30" s="315" t="s">
        <v>1827</v>
      </c>
      <c r="G30" s="300" t="s">
        <v>2878</v>
      </c>
      <c r="H30" s="415" t="s">
        <v>1828</v>
      </c>
      <c r="I30" s="415" t="s">
        <v>1776</v>
      </c>
      <c r="J30" s="1086">
        <f>K30/6*10</f>
        <v>487824.74885844748</v>
      </c>
      <c r="K30" s="1086">
        <f>L30/( 0.001 * 365*0.9)</f>
        <v>292694.84931506851</v>
      </c>
      <c r="L30" s="1085">
        <f>O30*0.112194</f>
        <v>96150.258000000002</v>
      </c>
      <c r="M30" s="378" t="s">
        <v>85</v>
      </c>
      <c r="N30" s="315" t="s">
        <v>0</v>
      </c>
      <c r="O30" s="1119">
        <v>857000</v>
      </c>
      <c r="P30" s="1096"/>
      <c r="Q30" s="300" t="s">
        <v>1829</v>
      </c>
      <c r="R30" s="272"/>
      <c r="S30" s="364"/>
      <c r="T30" s="364"/>
      <c r="U30" s="363"/>
      <c r="V30" s="386" t="s">
        <v>2877</v>
      </c>
    </row>
    <row r="31" spans="1:22" ht="78" customHeight="1">
      <c r="A31" s="585" t="s">
        <v>1831</v>
      </c>
      <c r="B31" s="484" t="s">
        <v>33</v>
      </c>
      <c r="C31" s="363" t="s">
        <v>1832</v>
      </c>
      <c r="D31" s="383" t="s">
        <v>528</v>
      </c>
      <c r="E31" s="436" t="s">
        <v>1833</v>
      </c>
      <c r="F31" s="386" t="s">
        <v>1834</v>
      </c>
      <c r="G31" s="386" t="s">
        <v>1835</v>
      </c>
      <c r="H31" s="569" t="s">
        <v>1836</v>
      </c>
      <c r="I31" s="569" t="s">
        <v>1837</v>
      </c>
      <c r="J31" s="1086">
        <f>K31/0.6</f>
        <v>3000000</v>
      </c>
      <c r="K31" s="1087">
        <v>1800000</v>
      </c>
      <c r="L31" s="1086">
        <f>K31*(0.001*365*0.9)</f>
        <v>591300</v>
      </c>
      <c r="M31" s="585" t="s">
        <v>85</v>
      </c>
      <c r="N31" s="363"/>
      <c r="O31" s="1086">
        <f>L31/0.112194</f>
        <v>5270335.3120487723</v>
      </c>
      <c r="P31" s="1357"/>
      <c r="Q31" s="587" t="s">
        <v>1838</v>
      </c>
      <c r="R31" s="586"/>
      <c r="S31" s="586" t="s">
        <v>29</v>
      </c>
      <c r="T31" s="588" t="s">
        <v>1839</v>
      </c>
      <c r="U31" s="363"/>
      <c r="V31" s="286" t="s">
        <v>1830</v>
      </c>
    </row>
    <row r="32" spans="1:22" ht="85.35" customHeight="1">
      <c r="A32" s="585" t="s">
        <v>1897</v>
      </c>
      <c r="B32" s="382" t="s">
        <v>33</v>
      </c>
      <c r="C32" s="363" t="s">
        <v>1898</v>
      </c>
      <c r="D32" s="449" t="s">
        <v>199</v>
      </c>
      <c r="E32" s="362" t="s">
        <v>2165</v>
      </c>
      <c r="F32" s="357" t="s">
        <v>1899</v>
      </c>
      <c r="G32" s="285" t="s">
        <v>2171</v>
      </c>
      <c r="H32" s="589"/>
      <c r="I32" s="569" t="s">
        <v>1900</v>
      </c>
      <c r="J32" s="1098">
        <f>K32/0.6</f>
        <v>507356.67174023337</v>
      </c>
      <c r="K32" s="1098">
        <f>L32/( 0.001 * 365*0.9)</f>
        <v>304414.00304414</v>
      </c>
      <c r="L32" s="1087">
        <v>100000</v>
      </c>
      <c r="M32" s="590" t="s">
        <v>85</v>
      </c>
      <c r="N32" s="383" t="s">
        <v>0</v>
      </c>
      <c r="O32" s="1098">
        <f>L32/0.112194</f>
        <v>891313.26095869648</v>
      </c>
      <c r="P32" s="1389"/>
      <c r="Q32" s="1390"/>
      <c r="R32" s="591"/>
      <c r="S32" s="1391" t="s">
        <v>29</v>
      </c>
      <c r="T32" s="588"/>
      <c r="U32" s="386" t="s">
        <v>30</v>
      </c>
      <c r="V32" s="386" t="s">
        <v>2465</v>
      </c>
    </row>
    <row r="33" spans="1:39" ht="78" customHeight="1">
      <c r="A33" s="360" t="s">
        <v>1856</v>
      </c>
      <c r="B33" s="484" t="s">
        <v>33</v>
      </c>
      <c r="C33" s="239" t="s">
        <v>1857</v>
      </c>
      <c r="D33" s="244" t="s">
        <v>237</v>
      </c>
      <c r="E33" s="248">
        <v>2010</v>
      </c>
      <c r="F33" s="249" t="s">
        <v>1858</v>
      </c>
      <c r="G33" s="571" t="s">
        <v>2703</v>
      </c>
      <c r="H33" s="569" t="s">
        <v>1859</v>
      </c>
      <c r="I33" s="300" t="s">
        <v>1860</v>
      </c>
      <c r="J33" s="1105"/>
      <c r="K33" s="1087">
        <v>794000</v>
      </c>
      <c r="L33" s="1086">
        <f>K33*0.001*365*0.9</f>
        <v>260829</v>
      </c>
      <c r="M33" s="310" t="s">
        <v>85</v>
      </c>
      <c r="N33" s="316"/>
      <c r="O33" s="1086">
        <f>L33/0.112194</f>
        <v>2324803.4654259584</v>
      </c>
      <c r="P33" s="1087">
        <v>3101699</v>
      </c>
      <c r="Q33" s="934" t="s">
        <v>1861</v>
      </c>
      <c r="R33" s="350"/>
      <c r="S33" s="248" t="s">
        <v>29</v>
      </c>
      <c r="T33" s="248" t="s">
        <v>1862</v>
      </c>
      <c r="U33" s="386" t="s">
        <v>30</v>
      </c>
      <c r="V33" s="249" t="s">
        <v>2146</v>
      </c>
    </row>
    <row r="34" spans="1:39" ht="78" customHeight="1">
      <c r="A34" s="880" t="s">
        <v>2477</v>
      </c>
      <c r="B34" s="765" t="s">
        <v>33</v>
      </c>
      <c r="C34" s="1046" t="s">
        <v>3107</v>
      </c>
      <c r="D34" s="294" t="s">
        <v>1531</v>
      </c>
      <c r="E34" s="936">
        <v>45071</v>
      </c>
      <c r="F34" s="687" t="s">
        <v>2476</v>
      </c>
      <c r="G34" s="687" t="s">
        <v>2700</v>
      </c>
      <c r="H34" s="312" t="s">
        <v>2479</v>
      </c>
      <c r="I34" s="312" t="s">
        <v>2478</v>
      </c>
      <c r="J34" s="1365">
        <v>302500</v>
      </c>
      <c r="K34" s="1084"/>
      <c r="L34" s="1365">
        <v>100000</v>
      </c>
      <c r="M34" s="697" t="s">
        <v>85</v>
      </c>
      <c r="N34" s="308"/>
      <c r="O34" s="1084">
        <v>785709</v>
      </c>
      <c r="P34" s="1084"/>
      <c r="Q34" s="308"/>
      <c r="R34" s="308"/>
      <c r="S34" s="308"/>
      <c r="T34" s="308"/>
      <c r="U34" s="308"/>
      <c r="V34" s="286" t="s">
        <v>2699</v>
      </c>
    </row>
    <row r="35" spans="1:39" ht="78" customHeight="1">
      <c r="A35" s="241" t="s">
        <v>1864</v>
      </c>
      <c r="B35" s="484" t="s">
        <v>33</v>
      </c>
      <c r="C35" s="239" t="s">
        <v>147</v>
      </c>
      <c r="D35" s="244" t="s">
        <v>148</v>
      </c>
      <c r="E35" s="248" t="s">
        <v>1865</v>
      </c>
      <c r="F35" s="239" t="s">
        <v>1866</v>
      </c>
      <c r="G35" s="239" t="s">
        <v>1867</v>
      </c>
      <c r="H35" s="300" t="s">
        <v>1868</v>
      </c>
      <c r="I35" s="300" t="s">
        <v>1869</v>
      </c>
      <c r="J35" s="1105"/>
      <c r="K35" s="1340">
        <f>L35/( 0.001 * 365*0.9)</f>
        <v>867579.90867579903</v>
      </c>
      <c r="L35" s="1087">
        <v>285000</v>
      </c>
      <c r="M35" s="241" t="s">
        <v>85</v>
      </c>
      <c r="N35" s="316"/>
      <c r="O35" s="1086">
        <f>L35/0.112194</f>
        <v>2540242.793732285</v>
      </c>
      <c r="P35" s="1087">
        <v>3250000</v>
      </c>
      <c r="Q35" s="300" t="s">
        <v>1870</v>
      </c>
      <c r="R35" s="248"/>
      <c r="S35" s="248" t="s">
        <v>1871</v>
      </c>
      <c r="T35" s="248" t="s">
        <v>1872</v>
      </c>
      <c r="U35" s="243" t="s">
        <v>30</v>
      </c>
      <c r="V35" s="507" t="s">
        <v>1863</v>
      </c>
    </row>
    <row r="36" spans="1:39" ht="78" customHeight="1">
      <c r="A36" s="360" t="s">
        <v>1902</v>
      </c>
      <c r="B36" s="241" t="s">
        <v>33</v>
      </c>
      <c r="C36" s="363" t="s">
        <v>896</v>
      </c>
      <c r="D36" s="449" t="s">
        <v>148</v>
      </c>
      <c r="E36" s="285" t="s">
        <v>1903</v>
      </c>
      <c r="F36" s="285" t="s">
        <v>1904</v>
      </c>
      <c r="G36" s="285" t="s">
        <v>2155</v>
      </c>
      <c r="H36" s="569" t="s">
        <v>1905</v>
      </c>
      <c r="I36" s="569" t="s">
        <v>1906</v>
      </c>
      <c r="J36" s="1093">
        <f>K36/6*10</f>
        <v>240000</v>
      </c>
      <c r="K36" s="1344">
        <f>100*60*24</f>
        <v>144000</v>
      </c>
      <c r="L36" s="1093">
        <f>K36*0.001*365*0.9</f>
        <v>47304</v>
      </c>
      <c r="M36" s="310" t="s">
        <v>85</v>
      </c>
      <c r="N36" s="239" t="s">
        <v>163</v>
      </c>
      <c r="O36" s="1093">
        <f>L36/0.112194</f>
        <v>421626.82496390183</v>
      </c>
      <c r="P36" s="1105"/>
      <c r="Q36" s="239"/>
      <c r="R36" s="339"/>
      <c r="S36" s="239" t="s">
        <v>29</v>
      </c>
      <c r="T36" s="593" t="s">
        <v>1907</v>
      </c>
      <c r="U36" s="243" t="s">
        <v>30</v>
      </c>
      <c r="V36" s="249" t="s">
        <v>1901</v>
      </c>
    </row>
    <row r="37" spans="1:39" ht="78" customHeight="1">
      <c r="A37" s="360" t="s">
        <v>1873</v>
      </c>
      <c r="B37" s="484" t="s">
        <v>33</v>
      </c>
      <c r="C37" s="239" t="s">
        <v>1874</v>
      </c>
      <c r="D37" s="244" t="s">
        <v>155</v>
      </c>
      <c r="E37" s="403" t="s">
        <v>1875</v>
      </c>
      <c r="F37" s="249" t="s">
        <v>481</v>
      </c>
      <c r="G37" s="249" t="s">
        <v>2981</v>
      </c>
      <c r="H37" s="569" t="s">
        <v>1876</v>
      </c>
      <c r="I37" s="569" t="s">
        <v>1877</v>
      </c>
      <c r="J37" s="1339"/>
      <c r="K37" s="1340">
        <f>L37/(0.9*365*0.001)</f>
        <v>24973.325643835615</v>
      </c>
      <c r="L37" s="1345">
        <f>P37*0.112194</f>
        <v>8203.7374739999996</v>
      </c>
      <c r="M37" s="241" t="s">
        <v>43</v>
      </c>
      <c r="N37" s="316"/>
      <c r="O37" s="1089"/>
      <c r="P37" s="1358">
        <v>73121</v>
      </c>
      <c r="Q37" s="518" t="s">
        <v>1878</v>
      </c>
      <c r="R37" s="340"/>
      <c r="S37" s="335" t="s">
        <v>1879</v>
      </c>
      <c r="T37" s="345"/>
      <c r="U37" s="243" t="s">
        <v>157</v>
      </c>
      <c r="V37" s="1140" t="s">
        <v>2980</v>
      </c>
    </row>
    <row r="38" spans="1:39" ht="19.5" customHeight="1">
      <c r="A38" s="1492" t="s">
        <v>2868</v>
      </c>
      <c r="B38" s="1492"/>
      <c r="C38" s="1492"/>
      <c r="D38" s="1492"/>
      <c r="E38" s="1492"/>
      <c r="F38" s="1492"/>
      <c r="G38" s="1492"/>
      <c r="H38" s="1492"/>
      <c r="I38" s="1492"/>
      <c r="J38" s="1492"/>
      <c r="K38" s="1492"/>
      <c r="L38" s="1492"/>
      <c r="M38" s="1492"/>
      <c r="N38" s="1492"/>
      <c r="O38" s="1492"/>
      <c r="P38" s="1492"/>
      <c r="Q38" s="1492"/>
      <c r="R38" s="1492"/>
      <c r="S38" s="1492"/>
      <c r="T38" s="1492"/>
      <c r="U38" s="1492"/>
      <c r="V38" s="1492"/>
    </row>
    <row r="39" spans="1:39" ht="90" customHeight="1">
      <c r="A39" s="985" t="s">
        <v>2762</v>
      </c>
      <c r="B39" s="985" t="s">
        <v>145</v>
      </c>
      <c r="C39" s="815" t="s">
        <v>220</v>
      </c>
      <c r="D39" s="986" t="s">
        <v>221</v>
      </c>
      <c r="E39" s="815" t="s">
        <v>2764</v>
      </c>
      <c r="F39" s="1371" t="s">
        <v>2763</v>
      </c>
      <c r="G39" s="1372" t="s">
        <v>2765</v>
      </c>
      <c r="H39" s="231"/>
      <c r="I39" s="815"/>
      <c r="J39" s="1373">
        <f>K39/0.6</f>
        <v>124348.34999999998</v>
      </c>
      <c r="K39" s="1374">
        <f>L39/(0.001*365*0.9)</f>
        <v>74609.00999999998</v>
      </c>
      <c r="L39" s="1373">
        <f>N39*0.112194</f>
        <v>24509.059784999994</v>
      </c>
      <c r="M39" s="985" t="s">
        <v>168</v>
      </c>
      <c r="N39" s="1375">
        <f>O39*0.75</f>
        <v>218452.49999999994</v>
      </c>
      <c r="O39" s="1376">
        <f>(700*1.14)*365</f>
        <v>291269.99999999994</v>
      </c>
      <c r="P39" s="1377"/>
      <c r="Q39" s="231"/>
      <c r="R39" s="231"/>
      <c r="S39" s="231"/>
      <c r="T39" s="815"/>
      <c r="U39" s="815"/>
      <c r="V39" s="815" t="s">
        <v>2761</v>
      </c>
    </row>
    <row r="40" spans="1:39" ht="90" customHeight="1">
      <c r="A40" s="256" t="s">
        <v>2766</v>
      </c>
      <c r="B40" s="241" t="s">
        <v>145</v>
      </c>
      <c r="C40" s="239" t="s">
        <v>2960</v>
      </c>
      <c r="D40" s="244" t="s">
        <v>171</v>
      </c>
      <c r="E40" s="699" t="s">
        <v>2768</v>
      </c>
      <c r="F40" s="762" t="s">
        <v>2767</v>
      </c>
      <c r="G40" s="699" t="s">
        <v>2769</v>
      </c>
      <c r="H40" s="1239" t="s">
        <v>2771</v>
      </c>
      <c r="I40" s="239"/>
      <c r="J40" s="1346"/>
      <c r="K40" s="1347"/>
      <c r="L40" s="1346"/>
      <c r="M40" s="287" t="s">
        <v>168</v>
      </c>
      <c r="N40" s="842"/>
      <c r="O40" s="1346"/>
      <c r="P40" s="1366"/>
      <c r="Q40" s="1"/>
      <c r="R40" s="1"/>
      <c r="S40" s="1"/>
      <c r="T40" s="239"/>
      <c r="U40" s="239"/>
      <c r="V40" s="1138" t="s">
        <v>2770</v>
      </c>
    </row>
    <row r="41" spans="1:39" ht="90" customHeight="1">
      <c r="A41" s="256" t="s">
        <v>2772</v>
      </c>
      <c r="B41" s="241" t="s">
        <v>145</v>
      </c>
      <c r="C41" s="239" t="s">
        <v>2961</v>
      </c>
      <c r="D41" s="244" t="s">
        <v>763</v>
      </c>
      <c r="E41" s="699" t="s">
        <v>2773</v>
      </c>
      <c r="F41" s="762" t="s">
        <v>2776</v>
      </c>
      <c r="G41" s="699" t="s">
        <v>2775</v>
      </c>
      <c r="H41" s="1239"/>
      <c r="I41" s="239"/>
      <c r="J41" s="1346"/>
      <c r="K41" s="1347"/>
      <c r="L41" s="1346"/>
      <c r="M41" s="731" t="s">
        <v>85</v>
      </c>
      <c r="N41" s="842"/>
      <c r="O41" s="1346"/>
      <c r="P41" s="1366"/>
      <c r="Q41" s="1"/>
      <c r="R41" s="1"/>
      <c r="S41" s="1"/>
      <c r="T41" s="239"/>
      <c r="U41" s="239"/>
      <c r="V41" s="1138" t="s">
        <v>2774</v>
      </c>
    </row>
    <row r="42" spans="1:39" ht="78" customHeight="1">
      <c r="A42" s="360" t="s">
        <v>1847</v>
      </c>
      <c r="B42" s="484" t="s">
        <v>145</v>
      </c>
      <c r="C42" s="239" t="s">
        <v>1848</v>
      </c>
      <c r="D42" s="244" t="s">
        <v>199</v>
      </c>
      <c r="E42" s="248"/>
      <c r="F42" s="285" t="s">
        <v>1849</v>
      </c>
      <c r="G42" s="285" t="s">
        <v>2612</v>
      </c>
      <c r="H42" s="300" t="s">
        <v>1850</v>
      </c>
      <c r="I42" s="569" t="s">
        <v>1851</v>
      </c>
      <c r="J42" s="1341">
        <v>1600000</v>
      </c>
      <c r="K42" s="1087">
        <v>915000</v>
      </c>
      <c r="L42" s="1341">
        <f>J42*365*600/1000000*0.95*0.96</f>
        <v>319564.79999999999</v>
      </c>
      <c r="M42" s="241" t="s">
        <v>53</v>
      </c>
      <c r="N42" s="315" t="s">
        <v>1852</v>
      </c>
      <c r="O42" s="1084"/>
      <c r="P42" s="1341">
        <f>L42/0.125</f>
        <v>2556518.3999999999</v>
      </c>
      <c r="Q42" s="339" t="s">
        <v>1853</v>
      </c>
      <c r="R42" s="340"/>
      <c r="S42" s="335" t="s">
        <v>1854</v>
      </c>
      <c r="T42" s="356" t="s">
        <v>1855</v>
      </c>
      <c r="U42" s="243" t="s">
        <v>157</v>
      </c>
      <c r="V42" s="286" t="s">
        <v>2613</v>
      </c>
    </row>
    <row r="43" spans="1:39" ht="42" customHeight="1">
      <c r="A43" s="256" t="s">
        <v>2630</v>
      </c>
      <c r="B43" s="484" t="s">
        <v>145</v>
      </c>
      <c r="C43" s="286" t="s">
        <v>100</v>
      </c>
      <c r="D43" s="499" t="s">
        <v>148</v>
      </c>
      <c r="E43" s="715" t="s">
        <v>2631</v>
      </c>
      <c r="F43" s="699" t="s">
        <v>2632</v>
      </c>
      <c r="G43" s="699" t="s">
        <v>2633</v>
      </c>
      <c r="H43" s="286"/>
      <c r="I43" s="286"/>
      <c r="J43" s="1089"/>
      <c r="K43" s="1348"/>
      <c r="L43" s="1348"/>
      <c r="M43" s="484" t="s">
        <v>168</v>
      </c>
      <c r="N43" s="286"/>
      <c r="O43" s="1359"/>
      <c r="P43" s="1347"/>
      <c r="Q43" s="286"/>
      <c r="R43" s="695"/>
      <c r="S43" s="486"/>
      <c r="T43" s="486"/>
      <c r="U43" s="286"/>
      <c r="V43" s="255" t="s">
        <v>2634</v>
      </c>
    </row>
    <row r="44" spans="1:39" ht="19.5" customHeight="1">
      <c r="A44" s="1492" t="s">
        <v>3157</v>
      </c>
      <c r="B44" s="1492"/>
      <c r="C44" s="1492"/>
      <c r="D44" s="1492"/>
      <c r="E44" s="1492"/>
      <c r="F44" s="1492"/>
      <c r="G44" s="1492"/>
      <c r="H44" s="1492"/>
      <c r="I44" s="1492"/>
      <c r="J44" s="1492"/>
      <c r="K44" s="1492"/>
      <c r="L44" s="1492"/>
      <c r="M44" s="1492"/>
      <c r="N44" s="1492"/>
      <c r="O44" s="1492"/>
      <c r="P44" s="1492"/>
      <c r="Q44" s="1492"/>
      <c r="R44" s="1492"/>
      <c r="S44" s="1492"/>
      <c r="T44" s="1492"/>
      <c r="U44" s="1492"/>
      <c r="V44" s="1492"/>
    </row>
    <row r="45" spans="1:39" s="317" customFormat="1" ht="29.1" customHeight="1">
      <c r="A45" s="1378" t="s">
        <v>1923</v>
      </c>
      <c r="B45" s="1379" t="s">
        <v>303</v>
      </c>
      <c r="C45" s="1130" t="s">
        <v>1924</v>
      </c>
      <c r="D45" s="1380" t="s">
        <v>92</v>
      </c>
      <c r="E45" s="1381" t="s">
        <v>1446</v>
      </c>
      <c r="F45" s="1368" t="s">
        <v>1925</v>
      </c>
      <c r="G45" s="1368" t="s">
        <v>1926</v>
      </c>
      <c r="H45" s="1382"/>
      <c r="I45" s="1392" t="s">
        <v>1927</v>
      </c>
      <c r="J45" s="1383"/>
      <c r="K45" s="1383"/>
      <c r="L45" s="1383"/>
      <c r="M45" s="219" t="s">
        <v>85</v>
      </c>
      <c r="N45" s="1380"/>
      <c r="O45" s="1384"/>
      <c r="P45" s="1385"/>
      <c r="Q45" s="1337" t="s">
        <v>1928</v>
      </c>
      <c r="R45" s="1386"/>
      <c r="S45" s="1386"/>
      <c r="T45" s="1393" t="s">
        <v>1929</v>
      </c>
      <c r="U45" s="1387"/>
      <c r="V45" s="1368" t="s">
        <v>1922</v>
      </c>
      <c r="W45" s="233"/>
      <c r="X45" s="233"/>
      <c r="Y45" s="233"/>
      <c r="Z45" s="233"/>
      <c r="AA45" s="233"/>
      <c r="AB45" s="233"/>
      <c r="AC45" s="233"/>
      <c r="AD45" s="233"/>
      <c r="AE45" s="233"/>
      <c r="AF45" s="233"/>
      <c r="AG45" s="233"/>
      <c r="AH45" s="233"/>
      <c r="AI45" s="233"/>
      <c r="AJ45" s="233"/>
      <c r="AK45" s="233"/>
      <c r="AL45" s="233"/>
      <c r="AM45" s="233"/>
    </row>
    <row r="46" spans="1:39" s="233" customFormat="1" ht="78" customHeight="1">
      <c r="A46" s="111" t="s">
        <v>1841</v>
      </c>
      <c r="B46" s="107" t="s">
        <v>1941</v>
      </c>
      <c r="C46" s="112" t="s">
        <v>1842</v>
      </c>
      <c r="D46" s="13" t="s">
        <v>101</v>
      </c>
      <c r="E46" s="23">
        <v>2011</v>
      </c>
      <c r="F46" s="35" t="s">
        <v>1843</v>
      </c>
      <c r="G46" s="124" t="s">
        <v>1844</v>
      </c>
      <c r="H46" s="123" t="s">
        <v>1845</v>
      </c>
      <c r="I46" s="127" t="s">
        <v>1728</v>
      </c>
      <c r="J46" s="1350"/>
      <c r="K46" s="1351">
        <v>20000</v>
      </c>
      <c r="L46" s="1094">
        <f>K46*0.001*365*0.9</f>
        <v>6570</v>
      </c>
      <c r="M46" s="113" t="s">
        <v>85</v>
      </c>
      <c r="N46" s="214"/>
      <c r="O46" s="1360">
        <f>L46/0.112194</f>
        <v>58559.281244986363</v>
      </c>
      <c r="P46" s="1361"/>
      <c r="Q46" s="128" t="s">
        <v>1846</v>
      </c>
      <c r="R46" s="110"/>
      <c r="S46" s="23" t="s">
        <v>1435</v>
      </c>
      <c r="T46" s="23"/>
      <c r="U46" s="16" t="s">
        <v>157</v>
      </c>
      <c r="V46" s="35" t="s">
        <v>1840</v>
      </c>
    </row>
    <row r="47" spans="1:39" ht="78" customHeight="1">
      <c r="A47" s="188" t="s">
        <v>1931</v>
      </c>
      <c r="B47" s="188" t="s">
        <v>251</v>
      </c>
      <c r="C47" s="187" t="s">
        <v>1932</v>
      </c>
      <c r="D47" s="189" t="s">
        <v>35</v>
      </c>
      <c r="E47" s="191" t="s">
        <v>1933</v>
      </c>
      <c r="F47" s="187" t="s">
        <v>1934</v>
      </c>
      <c r="G47" s="191" t="s">
        <v>1935</v>
      </c>
      <c r="H47" s="187" t="s">
        <v>1936</v>
      </c>
      <c r="I47" s="187" t="s">
        <v>1937</v>
      </c>
      <c r="J47" s="1114">
        <v>0</v>
      </c>
      <c r="K47" s="1114"/>
      <c r="L47" s="1114"/>
      <c r="M47" s="188" t="s">
        <v>217</v>
      </c>
      <c r="N47" s="194"/>
      <c r="O47" s="1362"/>
      <c r="P47" s="1363"/>
      <c r="Q47" s="214"/>
      <c r="R47" s="211"/>
      <c r="S47" s="220" t="s">
        <v>1938</v>
      </c>
      <c r="T47" s="195" t="s">
        <v>1939</v>
      </c>
      <c r="U47" s="197"/>
      <c r="V47" s="187" t="s">
        <v>1930</v>
      </c>
      <c r="W47" s="233"/>
      <c r="X47" s="233"/>
      <c r="Y47" s="233"/>
      <c r="Z47" s="233"/>
      <c r="AA47" s="233"/>
      <c r="AB47" s="233"/>
      <c r="AC47" s="233"/>
      <c r="AD47" s="233"/>
      <c r="AE47" s="233"/>
      <c r="AF47" s="233"/>
      <c r="AG47" s="233"/>
      <c r="AH47" s="233"/>
      <c r="AI47" s="233"/>
      <c r="AJ47" s="233"/>
      <c r="AK47" s="233"/>
      <c r="AL47" s="233"/>
      <c r="AM47" s="233"/>
    </row>
    <row r="48" spans="1:39" s="233" customFormat="1" ht="57" customHeight="1">
      <c r="A48" s="86" t="s">
        <v>1940</v>
      </c>
      <c r="B48" s="86" t="s">
        <v>270</v>
      </c>
      <c r="C48" s="88" t="s">
        <v>759</v>
      </c>
      <c r="D48" s="90" t="s">
        <v>180</v>
      </c>
      <c r="E48" s="88"/>
      <c r="F48" s="93" t="s">
        <v>156</v>
      </c>
      <c r="G48" s="112" t="s">
        <v>2370</v>
      </c>
      <c r="H48" s="88"/>
      <c r="I48" s="88"/>
      <c r="J48" s="1352"/>
      <c r="K48" s="1352"/>
      <c r="L48" s="1117" t="s">
        <v>1942</v>
      </c>
      <c r="M48" s="1080" t="s">
        <v>85</v>
      </c>
      <c r="N48" s="93"/>
      <c r="O48" s="1116"/>
      <c r="P48" s="1113">
        <v>5416341</v>
      </c>
      <c r="Q48" s="88" t="s">
        <v>1943</v>
      </c>
      <c r="R48" s="88"/>
      <c r="S48" s="88"/>
      <c r="T48" s="88"/>
      <c r="U48" s="37" t="s">
        <v>30</v>
      </c>
      <c r="V48" s="95" t="s">
        <v>2584</v>
      </c>
    </row>
    <row r="49" spans="1:39" s="317" customFormat="1" ht="42.95" customHeight="1">
      <c r="A49" s="111" t="s">
        <v>1945</v>
      </c>
      <c r="B49" s="111" t="s">
        <v>270</v>
      </c>
      <c r="C49" s="112" t="s">
        <v>849</v>
      </c>
      <c r="D49" s="13" t="s">
        <v>35</v>
      </c>
      <c r="E49" s="125">
        <v>40634</v>
      </c>
      <c r="F49" s="35"/>
      <c r="G49" s="35"/>
      <c r="H49" s="124"/>
      <c r="I49" s="849" t="s">
        <v>1946</v>
      </c>
      <c r="J49" s="1350"/>
      <c r="K49" s="1112">
        <v>6000000</v>
      </c>
      <c r="L49" s="1094">
        <f>K49*0.001*365*0.9</f>
        <v>1971000</v>
      </c>
      <c r="M49" s="113" t="s">
        <v>217</v>
      </c>
      <c r="N49" s="21"/>
      <c r="O49" s="1353">
        <f>L49/0.112194</f>
        <v>17567784.37349591</v>
      </c>
      <c r="P49" s="1361"/>
      <c r="Q49" s="129" t="s">
        <v>1947</v>
      </c>
      <c r="R49" s="849"/>
      <c r="S49" s="849" t="s">
        <v>1948</v>
      </c>
      <c r="T49" s="23"/>
      <c r="U49" s="28"/>
      <c r="V49" s="35" t="s">
        <v>1944</v>
      </c>
      <c r="W49" s="233"/>
      <c r="X49" s="233"/>
      <c r="Y49" s="233"/>
      <c r="Z49" s="233"/>
      <c r="AA49" s="233"/>
      <c r="AB49" s="233"/>
      <c r="AC49" s="233"/>
      <c r="AD49" s="233"/>
      <c r="AE49" s="233"/>
      <c r="AF49" s="233"/>
      <c r="AG49" s="233"/>
      <c r="AH49" s="233"/>
      <c r="AI49" s="233"/>
      <c r="AJ49" s="233"/>
      <c r="AK49" s="233"/>
      <c r="AL49" s="233"/>
      <c r="AM49" s="233"/>
    </row>
    <row r="50" spans="1:39" ht="14.45" customHeight="1">
      <c r="A50" s="111" t="s">
        <v>1950</v>
      </c>
      <c r="B50" s="111" t="s">
        <v>261</v>
      </c>
      <c r="C50" s="112" t="s">
        <v>272</v>
      </c>
      <c r="D50" s="13" t="s">
        <v>35</v>
      </c>
      <c r="E50" s="23">
        <v>2012</v>
      </c>
      <c r="F50" s="35" t="s">
        <v>1951</v>
      </c>
      <c r="G50" s="35" t="s">
        <v>1952</v>
      </c>
      <c r="H50" s="124"/>
      <c r="I50" s="124"/>
      <c r="J50" s="1350"/>
      <c r="K50" s="1112"/>
      <c r="L50" s="1112"/>
      <c r="M50" s="113" t="s">
        <v>583</v>
      </c>
      <c r="N50" s="21"/>
      <c r="O50" s="1112"/>
      <c r="P50" s="1361"/>
      <c r="Q50" s="129"/>
      <c r="R50" s="21"/>
      <c r="S50" s="21"/>
      <c r="T50" s="23"/>
      <c r="U50" s="28"/>
      <c r="V50" s="847" t="s">
        <v>1949</v>
      </c>
    </row>
    <row r="51" spans="1:39" ht="51.75" customHeight="1">
      <c r="A51" s="113" t="s">
        <v>1954</v>
      </c>
      <c r="B51" s="111" t="s">
        <v>251</v>
      </c>
      <c r="C51" s="112" t="s">
        <v>1955</v>
      </c>
      <c r="D51" s="13" t="s">
        <v>296</v>
      </c>
      <c r="E51" s="23"/>
      <c r="F51" s="112" t="s">
        <v>1956</v>
      </c>
      <c r="G51" s="112" t="s">
        <v>1957</v>
      </c>
      <c r="H51" s="112"/>
      <c r="I51" s="112"/>
      <c r="J51" s="1112"/>
      <c r="K51" s="1350"/>
      <c r="L51" s="1112"/>
      <c r="M51" s="113" t="s">
        <v>583</v>
      </c>
      <c r="N51" s="21"/>
      <c r="O51" s="1350"/>
      <c r="P51" s="1361"/>
      <c r="Q51" s="112"/>
      <c r="R51" s="23"/>
      <c r="S51" s="23"/>
      <c r="T51" s="23"/>
      <c r="U51" s="28"/>
      <c r="V51" s="112" t="s">
        <v>1953</v>
      </c>
    </row>
    <row r="52" spans="1:39" ht="78" customHeight="1">
      <c r="A52" s="111" t="s">
        <v>1959</v>
      </c>
      <c r="B52" s="111" t="s">
        <v>251</v>
      </c>
      <c r="C52" s="112" t="s">
        <v>1960</v>
      </c>
      <c r="D52" s="13" t="s">
        <v>742</v>
      </c>
      <c r="E52" s="23"/>
      <c r="F52" s="35" t="s">
        <v>1961</v>
      </c>
      <c r="G52" s="35" t="s">
        <v>1962</v>
      </c>
      <c r="H52" s="124"/>
      <c r="I52" s="124" t="s">
        <v>1963</v>
      </c>
      <c r="J52" s="1350"/>
      <c r="K52" s="1350"/>
      <c r="L52" s="1350"/>
      <c r="M52" s="113" t="s">
        <v>583</v>
      </c>
      <c r="N52" s="21"/>
      <c r="O52" s="1350"/>
      <c r="P52" s="1361"/>
      <c r="Q52" s="108"/>
      <c r="R52" s="21"/>
      <c r="S52" s="21"/>
      <c r="T52" s="32"/>
      <c r="U52" s="28"/>
      <c r="V52" s="1367" t="s">
        <v>1958</v>
      </c>
    </row>
    <row r="53" spans="1:39" ht="78" customHeight="1">
      <c r="A53" s="111" t="s">
        <v>1965</v>
      </c>
      <c r="B53" s="111" t="s">
        <v>303</v>
      </c>
      <c r="C53" s="112" t="s">
        <v>474</v>
      </c>
      <c r="D53" s="13" t="s">
        <v>314</v>
      </c>
      <c r="E53" s="23">
        <v>2013</v>
      </c>
      <c r="F53" s="35" t="s">
        <v>1966</v>
      </c>
      <c r="G53" s="35" t="s">
        <v>1967</v>
      </c>
      <c r="H53" s="124" t="s">
        <v>1968</v>
      </c>
      <c r="I53" s="124" t="s">
        <v>1969</v>
      </c>
      <c r="J53" s="1350"/>
      <c r="K53" s="1350">
        <f>L53/( 0.001 * 365*0.9)</f>
        <v>58402.356164383542</v>
      </c>
      <c r="L53" s="1112">
        <f>O53*0.112194</f>
        <v>19185.173999999995</v>
      </c>
      <c r="M53" s="113" t="s">
        <v>53</v>
      </c>
      <c r="N53" s="21"/>
      <c r="O53" s="1112">
        <f>150000*1.14</f>
        <v>170999.99999999997</v>
      </c>
      <c r="P53" s="1361"/>
      <c r="Q53" s="108"/>
      <c r="R53" s="21"/>
      <c r="S53" s="21" t="s">
        <v>1970</v>
      </c>
      <c r="T53" s="32"/>
      <c r="U53" s="28"/>
      <c r="V53" s="1367" t="s">
        <v>1964</v>
      </c>
    </row>
    <row r="54" spans="1:39" ht="78" customHeight="1">
      <c r="A54" s="107" t="s">
        <v>2147</v>
      </c>
      <c r="B54" s="111" t="s">
        <v>1941</v>
      </c>
      <c r="C54" s="112" t="s">
        <v>355</v>
      </c>
      <c r="D54" s="13" t="s">
        <v>101</v>
      </c>
      <c r="E54" s="23">
        <v>2011</v>
      </c>
      <c r="F54" s="35" t="s">
        <v>1972</v>
      </c>
      <c r="G54" s="124" t="s">
        <v>1973</v>
      </c>
      <c r="H54" s="124" t="s">
        <v>1974</v>
      </c>
      <c r="I54" s="124" t="s">
        <v>1975</v>
      </c>
      <c r="J54" s="1350"/>
      <c r="K54" s="1112">
        <v>550000</v>
      </c>
      <c r="L54" s="1094">
        <f>K54*0.001*365*0.9</f>
        <v>180675</v>
      </c>
      <c r="M54" s="113" t="s">
        <v>85</v>
      </c>
      <c r="N54" s="21"/>
      <c r="O54" s="1094">
        <f>L54/0.112194</f>
        <v>1610380.2342371249</v>
      </c>
      <c r="P54" s="1361"/>
      <c r="Q54" s="849" t="s">
        <v>1976</v>
      </c>
      <c r="R54" s="23"/>
      <c r="S54" s="23"/>
      <c r="T54" s="23"/>
      <c r="U54" s="28"/>
      <c r="V54" s="35" t="s">
        <v>1971</v>
      </c>
    </row>
    <row r="55" spans="1:39" ht="78" customHeight="1">
      <c r="A55" s="111" t="s">
        <v>1978</v>
      </c>
      <c r="B55" s="111" t="s">
        <v>303</v>
      </c>
      <c r="C55" s="112" t="s">
        <v>826</v>
      </c>
      <c r="D55" s="13" t="s">
        <v>101</v>
      </c>
      <c r="E55" s="23"/>
      <c r="F55" s="35" t="s">
        <v>1663</v>
      </c>
      <c r="G55" s="35" t="s">
        <v>1979</v>
      </c>
      <c r="H55" s="108"/>
      <c r="I55" s="108" t="s">
        <v>1980</v>
      </c>
      <c r="J55" s="1350"/>
      <c r="K55" s="1353">
        <f>L55/( 0.001 * 365*0.9)</f>
        <v>201949.19999999998</v>
      </c>
      <c r="L55" s="1094">
        <f>O55*0.112194</f>
        <v>66340.3122</v>
      </c>
      <c r="M55" s="113" t="s">
        <v>583</v>
      </c>
      <c r="N55" s="21"/>
      <c r="O55" s="1112">
        <f>1800*365*0.9</f>
        <v>591300</v>
      </c>
      <c r="P55" s="1361"/>
      <c r="Q55" s="35" t="s">
        <v>1981</v>
      </c>
      <c r="R55" s="23"/>
      <c r="S55" s="23" t="s">
        <v>1982</v>
      </c>
      <c r="T55" s="23"/>
      <c r="U55" s="28"/>
      <c r="V55" s="35" t="s">
        <v>1977</v>
      </c>
    </row>
    <row r="56" spans="1:39" ht="78" customHeight="1">
      <c r="A56" s="287" t="s">
        <v>2162</v>
      </c>
      <c r="B56" s="287" t="s">
        <v>303</v>
      </c>
      <c r="C56" s="286" t="s">
        <v>2161</v>
      </c>
      <c r="D56" s="499" t="s">
        <v>148</v>
      </c>
      <c r="E56" s="486" t="s">
        <v>805</v>
      </c>
      <c r="F56" s="286"/>
      <c r="G56" s="286" t="s">
        <v>2876</v>
      </c>
      <c r="H56" s="300" t="s">
        <v>2163</v>
      </c>
      <c r="I56" s="300" t="s">
        <v>2164</v>
      </c>
      <c r="J56" s="1089"/>
      <c r="K56" s="1089"/>
      <c r="L56" s="1089"/>
      <c r="M56" s="611" t="s">
        <v>85</v>
      </c>
      <c r="N56" s="286"/>
      <c r="O56" s="1359"/>
      <c r="P56" s="1347"/>
      <c r="Q56" s="286"/>
      <c r="R56" s="486"/>
      <c r="S56" s="486"/>
      <c r="T56" s="486"/>
      <c r="U56" s="286"/>
      <c r="V56" s="286" t="s">
        <v>2629</v>
      </c>
    </row>
    <row r="57" spans="1:39" ht="78" customHeight="1">
      <c r="A57" s="241" t="s">
        <v>1915</v>
      </c>
      <c r="B57" s="241" t="s">
        <v>303</v>
      </c>
      <c r="C57" s="239" t="s">
        <v>479</v>
      </c>
      <c r="D57" s="244" t="s">
        <v>101</v>
      </c>
      <c r="E57" s="248" t="s">
        <v>1916</v>
      </c>
      <c r="F57" s="239" t="s">
        <v>1917</v>
      </c>
      <c r="G57" s="239" t="s">
        <v>1918</v>
      </c>
      <c r="H57" s="300" t="s">
        <v>1919</v>
      </c>
      <c r="I57" s="300" t="s">
        <v>1920</v>
      </c>
      <c r="J57" s="1087">
        <v>600000</v>
      </c>
      <c r="K57" s="1105"/>
      <c r="L57" s="1086">
        <f>J57*0.001*365*0.9</f>
        <v>197100</v>
      </c>
      <c r="M57" s="360" t="s">
        <v>217</v>
      </c>
      <c r="N57" s="239"/>
      <c r="O57" s="1340">
        <f>L57/0.112194</f>
        <v>1756778.4373495909</v>
      </c>
      <c r="P57" s="1355"/>
      <c r="Q57" s="239"/>
      <c r="R57" s="248"/>
      <c r="S57" s="248" t="s">
        <v>1921</v>
      </c>
      <c r="T57" s="248"/>
      <c r="U57" s="239"/>
      <c r="V57" s="239" t="s">
        <v>1914</v>
      </c>
    </row>
    <row r="58" spans="1:39" ht="78" customHeight="1">
      <c r="A58" s="484" t="s">
        <v>1908</v>
      </c>
      <c r="B58" s="287" t="s">
        <v>303</v>
      </c>
      <c r="C58" s="286" t="s">
        <v>262</v>
      </c>
      <c r="D58" s="563" t="s">
        <v>35</v>
      </c>
      <c r="E58" s="499" t="s">
        <v>805</v>
      </c>
      <c r="F58" s="485" t="s">
        <v>1909</v>
      </c>
      <c r="G58" s="485" t="s">
        <v>1910</v>
      </c>
      <c r="H58" s="1278" t="s">
        <v>1911</v>
      </c>
      <c r="I58" s="1278" t="s">
        <v>1912</v>
      </c>
      <c r="J58" s="1394">
        <v>1643000</v>
      </c>
      <c r="K58" s="1394">
        <v>1186840</v>
      </c>
      <c r="L58" s="1093">
        <f>K58*0.001*365*0.9</f>
        <v>389876.94</v>
      </c>
      <c r="M58" s="484" t="s">
        <v>85</v>
      </c>
      <c r="N58" s="487"/>
      <c r="O58" s="1098">
        <f>L58/0.112194</f>
        <v>3475024.8676399807</v>
      </c>
      <c r="P58" s="1346"/>
      <c r="Q58" s="1395" t="s">
        <v>441</v>
      </c>
      <c r="R58" s="672"/>
      <c r="S58" s="672" t="s">
        <v>1913</v>
      </c>
      <c r="T58" s="568"/>
      <c r="U58" s="485" t="s">
        <v>29</v>
      </c>
      <c r="V58" s="1287" t="s">
        <v>2628</v>
      </c>
    </row>
    <row r="59" spans="1:39" ht="17.100000000000001" customHeight="1"/>
    <row r="60" spans="1:39" ht="33.6" customHeight="1">
      <c r="A60" s="1052" t="s">
        <v>1983</v>
      </c>
      <c r="B60" s="1370" t="s">
        <v>2866</v>
      </c>
    </row>
    <row r="61" spans="1:39" ht="18.600000000000001" customHeight="1">
      <c r="A61" s="1435" t="s">
        <v>359</v>
      </c>
      <c r="B61" s="1369">
        <f>COUNTA(A9:A37)</f>
        <v>29</v>
      </c>
    </row>
    <row r="62" spans="1:39" ht="18" customHeight="1">
      <c r="A62" s="1436" t="s">
        <v>360</v>
      </c>
      <c r="B62" s="937">
        <f>COUNTA(A39:A43)</f>
        <v>5</v>
      </c>
    </row>
    <row r="63" spans="1:39" ht="18.95" customHeight="1">
      <c r="A63" s="1436" t="s">
        <v>361</v>
      </c>
      <c r="B63" s="937">
        <v>5</v>
      </c>
    </row>
    <row r="64" spans="1:39" ht="15" customHeight="1">
      <c r="A64" s="116"/>
      <c r="B64" s="4"/>
    </row>
    <row r="65" spans="1:2">
      <c r="A65" s="116"/>
      <c r="B65" s="4"/>
    </row>
    <row r="66" spans="1:2" ht="31.5">
      <c r="A66" s="1052" t="s">
        <v>3182</v>
      </c>
      <c r="B66" s="1370" t="s">
        <v>2866</v>
      </c>
    </row>
    <row r="67" spans="1:2" ht="15" customHeight="1">
      <c r="A67" s="1436" t="s">
        <v>3177</v>
      </c>
      <c r="B67" s="1408">
        <f>SUM(L9:L37)</f>
        <v>4627925.0644739997</v>
      </c>
    </row>
    <row r="68" spans="1:2" ht="15" customHeight="1">
      <c r="A68" s="1437" t="s">
        <v>3183</v>
      </c>
      <c r="B68" s="1408">
        <f>SUM(L39:L43)</f>
        <v>344073.85978499998</v>
      </c>
    </row>
    <row r="71" spans="1:2" ht="14.25"/>
    <row r="74" spans="1:2" ht="14.25"/>
  </sheetData>
  <mergeCells count="9">
    <mergeCell ref="T6:V6"/>
    <mergeCell ref="A8:V8"/>
    <mergeCell ref="A38:V38"/>
    <mergeCell ref="A44:V44"/>
    <mergeCell ref="E4:F4"/>
    <mergeCell ref="A6:D6"/>
    <mergeCell ref="E6:G6"/>
    <mergeCell ref="H6:J6"/>
    <mergeCell ref="K6:S6"/>
  </mergeCells>
  <dataValidations count="4">
    <dataValidation type="list" allowBlank="1" sqref="H48" xr:uid="{00000000-0002-0000-0600-000000000000}">
      <formula1>"Pipeline,Vehicle Fuel,Both,Unknown,Other"</formula1>
    </dataValidation>
    <dataValidation type="list" allowBlank="1" sqref="N27 N29 N43 N16:N18 N56:N57" xr:uid="{00000000-0002-0000-0600-000001000000}">
      <formula1>"Vehicle fuel,Pipeline,Both,Other,Unknown"</formula1>
    </dataValidation>
    <dataValidation type="list" allowBlank="1" showErrorMessage="1" sqref="B59" xr:uid="{00000000-0002-0000-0600-000002000000}">
      <formula1>#REF!</formula1>
    </dataValidation>
    <dataValidation type="list" allowBlank="1" sqref="N39:N41" xr:uid="{00000000-0002-0000-0300-000001000000}">
      <formula1>"Pipeline,Vehicle Fuel,Both,Other,Unknown"</formula1>
    </dataValidation>
  </dataValidations>
  <hyperlinks>
    <hyperlink ref="V19" r:id="rId1" xr:uid="{00000000-0004-0000-0600-000000000000}"/>
    <hyperlink ref="V20" r:id="rId2" xr:uid="{00000000-0004-0000-0600-000001000000}"/>
    <hyperlink ref="V35" r:id="rId3" xr:uid="{00000000-0004-0000-0600-000002000000}"/>
    <hyperlink ref="V37" r:id="rId4" display="https://biocng.us/wp-content/uploads/2015/06/Janesville-Fact-Sheet-2015.pdf" xr:uid="{00000000-0004-0000-0600-000003000000}"/>
    <hyperlink ref="V50" r:id="rId5" xr:uid="{00000000-0004-0000-0600-000005000000}"/>
    <hyperlink ref="V52" r:id="rId6" xr:uid="{00000000-0004-0000-0600-000006000000}"/>
    <hyperlink ref="V53" r:id="rId7" xr:uid="{00000000-0004-0000-0600-000007000000}"/>
    <hyperlink ref="V40" r:id="rId8" display="https://www.wsscwater.com/sites/default/files/2023-05/FAQ%20sheets%20updated%2005.01.23.pdf" xr:uid="{4AACAA7A-4BFF-5E40-BEAF-7250FD5609B7}"/>
    <hyperlink ref="V41" r:id="rId9" display="https://raleighnc.gov/water-and-sewer/bio-energy-recovery-project" xr:uid="{E51478C5-74A1-2D46-B31F-1B42D1B19079}"/>
    <hyperlink ref="V58" r:id="rId10" xr:uid="{C8484CCC-EC0E-704C-A0F7-BDBC452D4621}"/>
  </hyperlinks>
  <pageMargins left="0.7" right="0.7" top="0.75" bottom="0.75" header="0" footer="0"/>
  <pageSetup orientation="portrait" r:id="rId11"/>
  <extLst>
    <ext xmlns:x14="http://schemas.microsoft.com/office/spreadsheetml/2009/9/main" uri="{CCE6A557-97BC-4b89-ADB6-D9C93CAAB3DF}">
      <x14:dataValidations xmlns:xm="http://schemas.microsoft.com/office/excel/2006/main" count="4">
        <x14:dataValidation type="list" allowBlank="1" showErrorMessage="1" xr:uid="{00000000-0002-0000-0600-000006000000}">
          <x14:formula1>
            <xm:f>'List Values'!$A$11:$A$20</xm:f>
          </x14:formula1>
          <xm:sqref>B45:B55 B9:B37 B39:B43</xm:sqref>
        </x14:dataValidation>
        <x14:dataValidation type="list" allowBlank="1" showErrorMessage="1" xr:uid="{00000000-0002-0000-0600-000007000000}">
          <x14:formula1>
            <xm:f>'List Values'!$A$2:$A$8</xm:f>
          </x14:formula1>
          <xm:sqref>M9:M11 M45:M58 M13:M37 M39:M43</xm:sqref>
        </x14:dataValidation>
        <x14:dataValidation type="list" allowBlank="1" showInputMessage="1" showErrorMessage="1" xr:uid="{00000000-0002-0000-0600-000009000000}">
          <x14:formula1>
            <xm:f>'List Values'!$A$11:$A$20</xm:f>
          </x14:formula1>
          <xm:sqref>B34</xm:sqref>
        </x14:dataValidation>
        <x14:dataValidation type="list" allowBlank="1" showErrorMessage="1" xr:uid="{00000000-0002-0000-0600-000008000000}">
          <x14:formula1>
            <xm:f>'List Values'!$A$10:$A$19</xm:f>
          </x14:formula1>
          <xm:sqref>B56:B58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69"/>
  <sheetViews>
    <sheetView topLeftCell="I17" zoomScale="60" zoomScaleNormal="60" workbookViewId="0">
      <selection activeCell="P41" sqref="P41"/>
    </sheetView>
  </sheetViews>
  <sheetFormatPr defaultColWidth="12.625" defaultRowHeight="15" customHeight="1"/>
  <cols>
    <col min="1" max="1" width="39.25" customWidth="1"/>
    <col min="2" max="2" width="14.875" customWidth="1"/>
    <col min="3" max="3" width="17.375" customWidth="1"/>
    <col min="4" max="4" width="17.125" customWidth="1"/>
    <col min="5" max="5" width="17" customWidth="1"/>
    <col min="6" max="6" width="14.5" customWidth="1"/>
    <col min="7" max="7" width="15.625" customWidth="1"/>
    <col min="8" max="8" width="17.5" customWidth="1"/>
    <col min="9" max="9" width="21.375" customWidth="1"/>
    <col min="10" max="10" width="15.125" customWidth="1"/>
    <col min="11" max="11" width="18.625" customWidth="1"/>
    <col min="12" max="12" width="23.375" customWidth="1"/>
    <col min="13" max="13" width="20.625" customWidth="1"/>
    <col min="14" max="14" width="21.875" customWidth="1"/>
    <col min="15" max="15" width="17.625" customWidth="1"/>
    <col min="16" max="16" width="19.875" customWidth="1"/>
    <col min="17" max="32" width="7.625" customWidth="1"/>
  </cols>
  <sheetData>
    <row r="1" spans="1:35" ht="58.5" customHeight="1">
      <c r="A1" s="605" t="s">
        <v>3175</v>
      </c>
      <c r="B1" s="606"/>
      <c r="C1" s="133"/>
      <c r="D1" s="133"/>
      <c r="E1" s="133"/>
      <c r="F1" s="133"/>
      <c r="G1" s="133"/>
      <c r="H1" s="133"/>
      <c r="I1" s="133"/>
      <c r="J1" s="133"/>
      <c r="K1" s="133"/>
      <c r="L1" s="133"/>
      <c r="M1" s="133"/>
      <c r="N1" s="133"/>
      <c r="O1" s="133"/>
      <c r="P1" s="133"/>
      <c r="Q1" s="133"/>
      <c r="R1" s="133"/>
      <c r="S1" s="133"/>
      <c r="T1" s="133"/>
      <c r="U1" s="133"/>
      <c r="V1" s="133"/>
      <c r="W1" s="133"/>
      <c r="X1" s="133"/>
      <c r="Y1" s="1"/>
      <c r="Z1" s="1"/>
      <c r="AA1" s="1"/>
      <c r="AB1" s="1"/>
      <c r="AC1" s="1"/>
      <c r="AD1" s="1"/>
      <c r="AE1" s="1"/>
      <c r="AF1" s="1"/>
    </row>
    <row r="2" spans="1:35" ht="27.6" customHeight="1">
      <c r="A2" s="327"/>
      <c r="I2" s="1548" t="s">
        <v>2995</v>
      </c>
      <c r="J2" s="1549"/>
      <c r="K2" s="1549"/>
      <c r="L2" s="1549"/>
      <c r="M2" s="1549"/>
      <c r="N2" s="1549"/>
      <c r="O2" s="1549"/>
      <c r="P2" s="1549"/>
      <c r="Q2" s="1549"/>
      <c r="R2" s="1549"/>
      <c r="S2" s="1549"/>
      <c r="T2" s="1549"/>
      <c r="U2" s="1549"/>
      <c r="V2" s="1549"/>
      <c r="W2" s="1549"/>
      <c r="X2" s="1549"/>
      <c r="Y2" s="1549"/>
      <c r="Z2" s="1549"/>
      <c r="AA2" s="1549"/>
      <c r="AB2" s="1549"/>
      <c r="AC2" s="1549"/>
      <c r="AD2" s="1549"/>
      <c r="AE2" s="1549"/>
      <c r="AF2" s="1549"/>
      <c r="AG2" s="1549"/>
      <c r="AH2" s="1549"/>
      <c r="AI2" s="1550"/>
    </row>
    <row r="3" spans="1:35" ht="30" customHeight="1">
      <c r="A3" s="958" t="s">
        <v>2007</v>
      </c>
      <c r="B3" s="104"/>
      <c r="C3" s="1"/>
      <c r="D3" s="1"/>
      <c r="E3" s="1"/>
      <c r="F3" s="1"/>
      <c r="G3" s="1"/>
      <c r="H3" s="1"/>
      <c r="AE3" s="1"/>
      <c r="AF3" s="1"/>
    </row>
    <row r="4" spans="1:35" ht="14.25" customHeight="1">
      <c r="A4" s="133"/>
      <c r="B4" s="133"/>
      <c r="C4" s="133"/>
      <c r="D4" s="133"/>
      <c r="E4" s="133"/>
      <c r="F4" s="133"/>
      <c r="G4" s="1"/>
      <c r="H4" s="1"/>
      <c r="I4" s="1"/>
      <c r="J4" s="1"/>
      <c r="K4" s="1"/>
      <c r="L4" s="1"/>
      <c r="M4" s="1"/>
      <c r="N4" s="1"/>
    </row>
    <row r="5" spans="1:35" ht="13.7" customHeight="1">
      <c r="A5" s="134" t="s">
        <v>2990</v>
      </c>
      <c r="B5" s="133"/>
      <c r="C5" s="133"/>
      <c r="D5" s="133"/>
      <c r="E5" s="133"/>
      <c r="F5" s="133"/>
      <c r="G5" s="1"/>
      <c r="H5" s="1"/>
      <c r="I5" s="1"/>
      <c r="J5" s="1"/>
      <c r="K5" s="1"/>
      <c r="L5" s="1"/>
      <c r="M5" s="1"/>
      <c r="N5" s="1"/>
      <c r="O5" s="1"/>
      <c r="P5" s="1"/>
      <c r="Q5" s="1"/>
      <c r="R5" s="1"/>
      <c r="S5" s="1"/>
      <c r="T5" s="1"/>
      <c r="U5" s="1"/>
      <c r="V5" s="1"/>
      <c r="W5" s="1"/>
      <c r="X5" s="1"/>
      <c r="Y5" s="1"/>
      <c r="Z5" s="1"/>
      <c r="AA5" s="1"/>
      <c r="AB5" s="1"/>
      <c r="AC5" s="1"/>
      <c r="AD5" s="1"/>
      <c r="AE5" s="1"/>
      <c r="AF5" s="1"/>
    </row>
    <row r="6" spans="1:35" ht="13.7" customHeight="1">
      <c r="A6" s="134"/>
      <c r="B6" s="133"/>
      <c r="C6" s="133"/>
      <c r="D6" s="133"/>
      <c r="E6" s="133"/>
      <c r="F6" s="133"/>
      <c r="G6" s="1"/>
      <c r="H6" s="1"/>
      <c r="I6" s="1"/>
      <c r="J6" s="1"/>
      <c r="K6" s="1"/>
      <c r="L6" s="1"/>
      <c r="M6" s="1"/>
      <c r="N6" s="1"/>
      <c r="O6" s="1"/>
      <c r="P6" s="1"/>
      <c r="Q6" s="1"/>
      <c r="R6" s="1"/>
      <c r="S6" s="1"/>
      <c r="T6" s="1"/>
      <c r="U6" s="1"/>
      <c r="V6" s="1"/>
      <c r="W6" s="1"/>
      <c r="X6" s="1"/>
      <c r="Y6" s="1"/>
      <c r="Z6" s="1"/>
      <c r="AA6" s="1"/>
      <c r="AB6" s="1"/>
      <c r="AC6" s="1"/>
      <c r="AD6" s="1"/>
      <c r="AE6" s="1"/>
      <c r="AF6" s="1"/>
    </row>
    <row r="7" spans="1:35" ht="13.7" customHeight="1">
      <c r="A7" s="134"/>
      <c r="B7" s="133"/>
      <c r="C7" s="133"/>
      <c r="D7" s="133"/>
      <c r="E7" s="133"/>
      <c r="F7" s="133"/>
      <c r="G7" s="1"/>
      <c r="H7" s="1"/>
      <c r="I7" s="1"/>
      <c r="J7" s="1"/>
      <c r="K7" s="1"/>
      <c r="L7" s="1"/>
      <c r="M7" s="1"/>
      <c r="N7" s="1"/>
      <c r="O7" s="1"/>
      <c r="P7" s="1"/>
      <c r="Q7" s="1"/>
      <c r="R7" s="1"/>
      <c r="S7" s="1"/>
      <c r="T7" s="1"/>
      <c r="U7" s="1"/>
      <c r="V7" s="1"/>
      <c r="W7" s="1"/>
      <c r="X7" s="1"/>
      <c r="Y7" s="1"/>
      <c r="Z7" s="1"/>
      <c r="AA7" s="1"/>
      <c r="AB7" s="1"/>
      <c r="AC7" s="1"/>
      <c r="AD7" s="1"/>
      <c r="AE7" s="1"/>
      <c r="AF7" s="1"/>
    </row>
    <row r="8" spans="1:35" ht="13.7" customHeight="1">
      <c r="A8" s="134"/>
      <c r="B8" s="133"/>
      <c r="C8" s="133"/>
      <c r="D8" s="133"/>
      <c r="E8" s="133"/>
      <c r="F8" s="133"/>
      <c r="G8" s="1"/>
      <c r="H8" s="1"/>
      <c r="I8" s="1"/>
      <c r="J8" s="1"/>
      <c r="K8" s="1"/>
      <c r="L8" s="1"/>
      <c r="M8" s="1"/>
      <c r="N8" s="1"/>
      <c r="O8" s="1"/>
      <c r="P8" s="1"/>
      <c r="Q8" s="1"/>
      <c r="R8" s="1"/>
      <c r="S8" s="1"/>
      <c r="T8" s="1"/>
      <c r="U8" s="1"/>
      <c r="V8" s="1"/>
      <c r="W8" s="1"/>
      <c r="X8" s="1"/>
      <c r="Y8" s="1"/>
      <c r="Z8" s="1"/>
      <c r="AA8" s="1"/>
      <c r="AB8" s="1"/>
      <c r="AC8" s="1"/>
      <c r="AD8" s="1"/>
      <c r="AE8" s="1"/>
      <c r="AF8" s="1"/>
    </row>
    <row r="9" spans="1:35" ht="15.75">
      <c r="A9" s="134"/>
      <c r="B9" s="133"/>
      <c r="C9" s="133"/>
      <c r="D9" s="133"/>
      <c r="E9" s="133"/>
      <c r="F9" s="133"/>
      <c r="G9" s="1"/>
      <c r="H9" s="1"/>
      <c r="I9" s="1"/>
      <c r="J9" s="1"/>
      <c r="K9" s="1"/>
      <c r="L9" s="1"/>
      <c r="M9" s="1"/>
      <c r="N9" s="1"/>
      <c r="O9" s="1"/>
      <c r="P9" s="1"/>
      <c r="Q9" s="1"/>
      <c r="R9" s="1"/>
      <c r="S9" s="1"/>
      <c r="T9" s="1"/>
      <c r="U9" s="1"/>
      <c r="V9" s="1"/>
      <c r="W9" s="1"/>
      <c r="X9" s="1"/>
      <c r="Y9" s="1"/>
      <c r="Z9" s="1"/>
      <c r="AA9" s="1"/>
      <c r="AB9" s="1"/>
      <c r="AC9" s="1"/>
      <c r="AD9" s="1"/>
      <c r="AE9" s="1"/>
      <c r="AF9" s="1"/>
    </row>
    <row r="10" spans="1:35" ht="15.75">
      <c r="A10" s="134"/>
      <c r="B10" s="133"/>
      <c r="C10" s="133"/>
      <c r="D10" s="133"/>
      <c r="E10" s="133"/>
      <c r="F10" s="133"/>
      <c r="G10" s="1"/>
      <c r="H10" s="1"/>
      <c r="I10" s="1"/>
      <c r="J10" s="1"/>
      <c r="K10" s="1"/>
      <c r="L10" s="1"/>
      <c r="M10" s="1"/>
      <c r="N10" s="1"/>
      <c r="O10" s="1"/>
      <c r="P10" s="1"/>
      <c r="Q10" s="1"/>
      <c r="R10" s="1"/>
      <c r="S10" s="1"/>
      <c r="T10" s="1"/>
      <c r="U10" s="1"/>
      <c r="V10" s="1"/>
      <c r="W10" s="1"/>
      <c r="X10" s="1"/>
      <c r="Y10" s="1"/>
      <c r="Z10" s="1"/>
      <c r="AA10" s="1"/>
      <c r="AB10" s="1"/>
      <c r="AC10" s="1"/>
      <c r="AD10" s="1"/>
      <c r="AE10" s="1"/>
      <c r="AF10" s="1"/>
    </row>
    <row r="11" spans="1:35" ht="15.75">
      <c r="A11" s="134"/>
      <c r="B11" s="133"/>
      <c r="C11" s="133"/>
      <c r="D11" s="133"/>
      <c r="E11" s="133"/>
      <c r="F11" s="133"/>
      <c r="G11" s="1"/>
      <c r="H11" s="1"/>
      <c r="I11" s="1"/>
      <c r="J11" s="1"/>
      <c r="K11" s="1"/>
      <c r="L11" s="1"/>
      <c r="M11" s="1"/>
      <c r="N11" s="1"/>
      <c r="O11" s="1"/>
      <c r="P11" s="1"/>
      <c r="Q11" s="1"/>
      <c r="R11" s="1"/>
      <c r="S11" s="1"/>
      <c r="T11" s="1"/>
      <c r="U11" s="1"/>
      <c r="V11" s="1"/>
      <c r="W11" s="1"/>
      <c r="X11" s="1"/>
      <c r="Y11" s="1"/>
      <c r="Z11" s="1"/>
      <c r="AA11" s="1"/>
      <c r="AB11" s="1"/>
      <c r="AC11" s="1"/>
      <c r="AD11" s="1"/>
      <c r="AE11" s="1"/>
      <c r="AF11" s="1"/>
    </row>
    <row r="12" spans="1:35" ht="15.75">
      <c r="A12" s="134"/>
      <c r="B12" s="133"/>
      <c r="C12" s="133"/>
      <c r="D12" s="133"/>
      <c r="E12" s="133"/>
      <c r="F12" s="133"/>
      <c r="G12" s="1"/>
      <c r="H12" s="1"/>
      <c r="I12" s="1"/>
      <c r="J12" s="1"/>
      <c r="K12" s="1"/>
      <c r="L12" s="1"/>
      <c r="M12" s="1"/>
      <c r="N12" s="1"/>
      <c r="O12" s="1"/>
      <c r="P12" s="1"/>
      <c r="Q12" s="1"/>
      <c r="R12" s="1"/>
      <c r="S12" s="1"/>
      <c r="T12" s="1"/>
      <c r="U12" s="1"/>
      <c r="V12" s="1"/>
      <c r="W12" s="1"/>
      <c r="X12" s="1"/>
      <c r="Y12" s="1"/>
      <c r="Z12" s="1"/>
      <c r="AA12" s="1"/>
      <c r="AB12" s="1"/>
      <c r="AC12" s="1"/>
      <c r="AD12" s="1"/>
      <c r="AE12" s="1"/>
      <c r="AF12" s="1"/>
    </row>
    <row r="13" spans="1:35" ht="15.75">
      <c r="A13" s="134"/>
      <c r="B13" s="133"/>
      <c r="C13" s="133"/>
      <c r="D13" s="133"/>
      <c r="E13" s="133"/>
      <c r="F13" s="133"/>
      <c r="G13" s="1"/>
      <c r="H13" s="1"/>
      <c r="I13" s="1"/>
      <c r="J13" s="1"/>
      <c r="K13" s="1"/>
      <c r="L13" s="1"/>
      <c r="M13" s="1"/>
      <c r="N13" s="1"/>
      <c r="O13" s="1"/>
      <c r="P13" s="1"/>
      <c r="Q13" s="1"/>
      <c r="R13" s="1"/>
      <c r="S13" s="1"/>
      <c r="T13" s="1"/>
      <c r="U13" s="1"/>
      <c r="V13" s="1"/>
      <c r="W13" s="1"/>
      <c r="X13" s="1"/>
      <c r="Y13" s="1"/>
      <c r="Z13" s="1"/>
      <c r="AA13" s="1"/>
      <c r="AB13" s="1"/>
      <c r="AC13" s="1"/>
      <c r="AD13" s="1"/>
      <c r="AE13" s="1"/>
      <c r="AF13" s="1"/>
    </row>
    <row r="14" spans="1:35" ht="15.75">
      <c r="A14" s="134"/>
      <c r="B14" s="133"/>
      <c r="C14" s="133"/>
      <c r="D14" s="133"/>
      <c r="E14" s="133"/>
      <c r="F14" s="133"/>
      <c r="G14" s="1"/>
      <c r="H14" s="1"/>
      <c r="I14" s="1"/>
      <c r="J14" s="1"/>
      <c r="K14" s="1"/>
      <c r="L14" s="1"/>
      <c r="M14" s="1"/>
      <c r="N14" s="1"/>
      <c r="O14" s="1"/>
      <c r="P14" s="1"/>
      <c r="Q14" s="1"/>
      <c r="R14" s="1"/>
      <c r="S14" s="1"/>
      <c r="T14" s="1"/>
      <c r="U14" s="1"/>
      <c r="V14" s="1"/>
      <c r="W14" s="1"/>
      <c r="X14" s="1"/>
      <c r="Y14" s="1"/>
      <c r="Z14" s="1"/>
      <c r="AA14" s="1"/>
      <c r="AB14" s="1"/>
      <c r="AC14" s="1"/>
      <c r="AD14" s="1"/>
      <c r="AE14" s="1"/>
      <c r="AF14" s="1"/>
    </row>
    <row r="15" spans="1:35" ht="16.5" customHeight="1">
      <c r="A15" s="603" t="s">
        <v>2991</v>
      </c>
      <c r="E15" s="133"/>
      <c r="F15" s="133"/>
      <c r="G15" s="1"/>
      <c r="H15" s="1"/>
      <c r="I15" s="1"/>
      <c r="J15" s="1"/>
      <c r="K15" s="1"/>
      <c r="L15" s="1"/>
      <c r="M15" s="1"/>
      <c r="N15" s="1"/>
      <c r="O15" s="1"/>
      <c r="P15" s="1"/>
      <c r="Q15" s="1"/>
      <c r="R15" s="1"/>
      <c r="S15" s="1"/>
      <c r="T15" s="1"/>
      <c r="U15" s="1"/>
      <c r="V15" s="1"/>
      <c r="W15" s="1"/>
      <c r="X15" s="1"/>
      <c r="Y15" s="1"/>
      <c r="Z15" s="1"/>
      <c r="AA15" s="1"/>
      <c r="AB15" s="1"/>
      <c r="AC15" s="1"/>
      <c r="AD15" s="1"/>
      <c r="AE15" s="1"/>
      <c r="AF15" s="1"/>
    </row>
    <row r="17" spans="1:7" ht="45.6" customHeight="1">
      <c r="A17" s="136"/>
      <c r="B17" s="115" t="s">
        <v>2987</v>
      </c>
      <c r="C17" s="115" t="s">
        <v>2986</v>
      </c>
      <c r="D17" s="115" t="s">
        <v>2985</v>
      </c>
      <c r="E17" s="221" t="s">
        <v>2983</v>
      </c>
      <c r="F17" s="702" t="s">
        <v>2982</v>
      </c>
      <c r="G17" s="608" t="s">
        <v>2984</v>
      </c>
    </row>
    <row r="18" spans="1:7" ht="14.25" customHeight="1">
      <c r="A18" s="222" t="s">
        <v>2008</v>
      </c>
      <c r="B18" s="222">
        <f>'Food Waste'!B55</f>
        <v>13</v>
      </c>
      <c r="C18" s="222">
        <f>'Food Waste'!B56</f>
        <v>10</v>
      </c>
      <c r="D18" s="222">
        <v>20</v>
      </c>
      <c r="E18" s="222">
        <f>SUM(B18:D18)</f>
        <v>43</v>
      </c>
      <c r="F18" s="222">
        <v>32</v>
      </c>
      <c r="G18" s="225">
        <f>(E18-F18)/F18</f>
        <v>0.34375</v>
      </c>
    </row>
    <row r="19" spans="1:7" ht="14.25" customHeight="1">
      <c r="A19" s="137" t="s">
        <v>2009</v>
      </c>
      <c r="B19" s="138">
        <f>Landfills!B153</f>
        <v>100</v>
      </c>
      <c r="C19" s="138">
        <f>Landfills!B154</f>
        <v>26</v>
      </c>
      <c r="D19" s="138">
        <v>34</v>
      </c>
      <c r="E19" s="138">
        <f>SUM(B19:D19)</f>
        <v>160</v>
      </c>
      <c r="F19" s="138">
        <v>114</v>
      </c>
      <c r="G19" s="139">
        <f>(E19-F19)/F19</f>
        <v>0.40350877192982454</v>
      </c>
    </row>
    <row r="20" spans="1:7" ht="14.25" customHeight="1">
      <c r="A20" s="140" t="s">
        <v>2126</v>
      </c>
      <c r="B20" s="1011">
        <f>'Livestock, agriculture'!B285</f>
        <v>163</v>
      </c>
      <c r="C20" s="141">
        <f>'Livestock, agriculture'!B286</f>
        <v>84</v>
      </c>
      <c r="D20" s="141">
        <v>52</v>
      </c>
      <c r="E20" s="141">
        <f>SUM(B20:D20)</f>
        <v>299</v>
      </c>
      <c r="F20" s="141">
        <v>224</v>
      </c>
      <c r="G20" s="142">
        <f>(E20-F20)/F20</f>
        <v>0.33482142857142855</v>
      </c>
    </row>
    <row r="21" spans="1:7" ht="14.25" customHeight="1" thickBot="1">
      <c r="A21" s="226" t="s">
        <v>2011</v>
      </c>
      <c r="B21" s="1012">
        <f>WRRFs!B61</f>
        <v>29</v>
      </c>
      <c r="C21" s="1010">
        <f>WRRFs!B62</f>
        <v>5</v>
      </c>
      <c r="D21" s="144">
        <v>5</v>
      </c>
      <c r="E21" s="144">
        <f>SUM(B21:D21)</f>
        <v>39</v>
      </c>
      <c r="F21" s="144">
        <v>35</v>
      </c>
      <c r="G21" s="145">
        <f>(E21-F21)/F21</f>
        <v>0.11428571428571428</v>
      </c>
    </row>
    <row r="22" spans="1:7" ht="21.6" customHeight="1" thickBot="1">
      <c r="A22" s="1009" t="s">
        <v>3173</v>
      </c>
      <c r="B22" s="1023">
        <f>SUM(B18:B21)</f>
        <v>305</v>
      </c>
      <c r="C22" s="1024">
        <f>SUM(C18:C21)</f>
        <v>125</v>
      </c>
      <c r="D22" s="1025">
        <f>SUM(D18:D21)</f>
        <v>111</v>
      </c>
      <c r="E22" s="146">
        <f>SUM(E18:E21)</f>
        <v>541</v>
      </c>
      <c r="F22" s="253">
        <f>SUM(F18:F21)</f>
        <v>405</v>
      </c>
      <c r="G22" s="147">
        <f>(E22-F22)/F22</f>
        <v>0.33580246913580247</v>
      </c>
    </row>
    <row r="23" spans="1:7" ht="23.45" customHeight="1">
      <c r="A23" s="224" t="s">
        <v>3174</v>
      </c>
      <c r="B23" s="709">
        <v>275</v>
      </c>
      <c r="C23" s="965">
        <v>78</v>
      </c>
      <c r="D23" s="604">
        <v>52</v>
      </c>
      <c r="E23" s="709">
        <f>SUM(B23:D23)</f>
        <v>405</v>
      </c>
      <c r="F23" s="231"/>
      <c r="G23" s="969"/>
    </row>
    <row r="24" spans="1:7" ht="25.35" customHeight="1">
      <c r="A24" s="707" t="s">
        <v>2988</v>
      </c>
      <c r="B24" s="966">
        <f>(B22-B23)/B23</f>
        <v>0.10909090909090909</v>
      </c>
      <c r="C24" s="708">
        <f>(C22-C23)/C23</f>
        <v>0.60256410256410253</v>
      </c>
      <c r="D24" s="967">
        <f>(C22-D23)/D23</f>
        <v>1.4038461538461537</v>
      </c>
      <c r="E24" s="968">
        <f>(E22-E23)/E23</f>
        <v>0.33580246913580247</v>
      </c>
      <c r="F24" s="1"/>
      <c r="G24" s="148"/>
    </row>
    <row r="25" spans="1:7" ht="14.25" customHeight="1">
      <c r="A25" s="134"/>
      <c r="B25" s="133"/>
      <c r="C25" s="133"/>
      <c r="D25" s="133"/>
      <c r="E25" s="133"/>
      <c r="F25" s="1"/>
      <c r="G25" s="231"/>
    </row>
    <row r="26" spans="1:7" ht="14.25" customHeight="1">
      <c r="A26" s="134"/>
      <c r="B26" s="133"/>
      <c r="C26" s="133"/>
      <c r="D26" s="133"/>
      <c r="E26" s="133"/>
      <c r="F26" s="133"/>
      <c r="G26" s="1"/>
    </row>
    <row r="27" spans="1:7" ht="26.45" customHeight="1">
      <c r="A27" s="603" t="s">
        <v>3168</v>
      </c>
      <c r="B27" s="135"/>
      <c r="C27" s="133"/>
      <c r="D27" s="133"/>
      <c r="E27" s="133"/>
      <c r="F27" s="1"/>
      <c r="G27" s="1"/>
    </row>
    <row r="28" spans="1:7" ht="14.25" customHeight="1">
      <c r="A28" s="135"/>
      <c r="B28" s="135"/>
      <c r="C28" s="133"/>
      <c r="D28" s="133"/>
      <c r="E28" s="133"/>
      <c r="F28" s="1"/>
      <c r="G28" s="1"/>
    </row>
    <row r="29" spans="1:7" ht="40.700000000000003" customHeight="1">
      <c r="A29" s="77" t="s">
        <v>3170</v>
      </c>
      <c r="B29" s="1409" t="s">
        <v>3162</v>
      </c>
      <c r="C29" s="149" t="s">
        <v>2285</v>
      </c>
      <c r="D29" s="601" t="s">
        <v>3169</v>
      </c>
      <c r="E29" s="602" t="s">
        <v>745</v>
      </c>
      <c r="F29" s="1018" t="s">
        <v>2869</v>
      </c>
      <c r="G29" s="970"/>
    </row>
    <row r="30" spans="1:7" ht="14.25" customHeight="1">
      <c r="A30" s="222" t="s">
        <v>2008</v>
      </c>
      <c r="B30" s="222">
        <f>B18</f>
        <v>13</v>
      </c>
      <c r="C30" s="222">
        <v>5</v>
      </c>
      <c r="D30" s="222">
        <v>1</v>
      </c>
      <c r="E30" s="222">
        <v>7</v>
      </c>
      <c r="F30" s="973">
        <v>0</v>
      </c>
      <c r="G30" s="971"/>
    </row>
    <row r="31" spans="1:7" ht="14.25" customHeight="1">
      <c r="A31" s="137" t="s">
        <v>2009</v>
      </c>
      <c r="B31" s="150">
        <f>B19</f>
        <v>100</v>
      </c>
      <c r="C31" s="137">
        <v>80</v>
      </c>
      <c r="D31" s="151">
        <v>6</v>
      </c>
      <c r="E31" s="137">
        <f>12</f>
        <v>12</v>
      </c>
      <c r="F31" s="974">
        <v>2</v>
      </c>
      <c r="G31" s="971"/>
    </row>
    <row r="32" spans="1:7" ht="14.25" customHeight="1">
      <c r="A32" s="140" t="s">
        <v>2010</v>
      </c>
      <c r="B32" s="152">
        <f>B20</f>
        <v>163</v>
      </c>
      <c r="C32" s="140">
        <v>115</v>
      </c>
      <c r="D32" s="153">
        <v>2</v>
      </c>
      <c r="E32" s="140">
        <v>46</v>
      </c>
      <c r="F32" s="975">
        <v>0</v>
      </c>
      <c r="G32" s="971"/>
    </row>
    <row r="33" spans="1:8" ht="14.25" customHeight="1">
      <c r="A33" s="143" t="s">
        <v>2012</v>
      </c>
      <c r="B33" s="154">
        <f>B21</f>
        <v>29</v>
      </c>
      <c r="C33" s="143">
        <v>20</v>
      </c>
      <c r="D33" s="226">
        <v>9</v>
      </c>
      <c r="E33" s="155" t="e">
        <f>WRRFs!#REF!</f>
        <v>#REF!</v>
      </c>
      <c r="F33" s="976" t="e">
        <f>WRRFs!#REF!</f>
        <v>#REF!</v>
      </c>
      <c r="G33" s="971"/>
      <c r="H33" s="1"/>
    </row>
    <row r="34" spans="1:8" ht="14.25" customHeight="1">
      <c r="A34" s="156" t="s">
        <v>2989</v>
      </c>
      <c r="B34" s="170">
        <f>SUM(B30:B33)</f>
        <v>305</v>
      </c>
      <c r="C34" s="170">
        <f>SUM(C30:C33)</f>
        <v>220</v>
      </c>
      <c r="D34" s="170">
        <f>SUM(D30:D33)</f>
        <v>18</v>
      </c>
      <c r="E34" s="998" t="e">
        <f>SUM(E30:E33)</f>
        <v>#REF!</v>
      </c>
      <c r="F34" s="999" t="e">
        <f>SUM(F30:F33)</f>
        <v>#REF!</v>
      </c>
      <c r="G34" s="972"/>
      <c r="H34" s="1"/>
    </row>
    <row r="35" spans="1:8" ht="14.25" customHeight="1">
      <c r="A35" s="133"/>
      <c r="B35" s="133"/>
      <c r="C35" s="133"/>
      <c r="D35" s="133"/>
      <c r="E35" s="133"/>
      <c r="F35" s="133"/>
      <c r="G35" s="78"/>
      <c r="H35" s="1"/>
    </row>
    <row r="36" spans="1:8" ht="14.25" customHeight="1">
      <c r="A36" s="133"/>
      <c r="B36" s="133"/>
      <c r="C36" s="133"/>
      <c r="D36" s="133"/>
      <c r="E36" s="133"/>
      <c r="F36" s="133"/>
      <c r="G36" s="78"/>
      <c r="H36" s="1"/>
    </row>
    <row r="37" spans="1:8" ht="14.25" customHeight="1">
      <c r="A37" s="133"/>
      <c r="B37" s="133"/>
      <c r="C37" s="133"/>
      <c r="D37" s="133"/>
      <c r="E37" s="133"/>
      <c r="F37" s="133"/>
      <c r="G37" s="158"/>
      <c r="H37" s="1"/>
    </row>
    <row r="38" spans="1:8" ht="25.5" customHeight="1">
      <c r="A38" s="603" t="s">
        <v>2993</v>
      </c>
      <c r="B38" s="133"/>
      <c r="C38" s="1"/>
      <c r="D38" s="133"/>
      <c r="E38" s="133"/>
      <c r="F38" s="133"/>
      <c r="G38" s="133"/>
      <c r="H38" s="135"/>
    </row>
    <row r="39" spans="1:8" ht="14.25" customHeight="1">
      <c r="A39" s="1"/>
      <c r="B39" s="133"/>
      <c r="C39" s="133"/>
      <c r="D39" s="133"/>
      <c r="E39" s="133"/>
      <c r="H39" s="135"/>
    </row>
    <row r="40" spans="1:8" ht="45" customHeight="1">
      <c r="A40" s="1427" t="s">
        <v>3170</v>
      </c>
      <c r="B40" s="115" t="s">
        <v>3162</v>
      </c>
      <c r="C40" s="115" t="s">
        <v>911</v>
      </c>
      <c r="D40" s="115" t="s">
        <v>3163</v>
      </c>
      <c r="E40" s="159" t="s">
        <v>3164</v>
      </c>
      <c r="F40" s="115" t="s">
        <v>3165</v>
      </c>
      <c r="G40" s="159" t="s">
        <v>3166</v>
      </c>
      <c r="H40" s="1121" t="s">
        <v>3167</v>
      </c>
    </row>
    <row r="41" spans="1:8" ht="18" customHeight="1">
      <c r="A41" s="160" t="s">
        <v>2008</v>
      </c>
      <c r="B41" s="161">
        <f>B30</f>
        <v>13</v>
      </c>
      <c r="C41" s="161">
        <f>'Food Waste'!B61</f>
        <v>3267132.9959999998</v>
      </c>
      <c r="D41" s="161">
        <f>C41/0.112194</f>
        <v>29120389.646505158</v>
      </c>
      <c r="E41" s="161">
        <f t="shared" ref="E41:E46" si="0">D41/1.147</f>
        <v>25388308.323021062</v>
      </c>
      <c r="F41" s="223">
        <f>C41/B41</f>
        <v>251317.92276923076</v>
      </c>
      <c r="G41" s="227">
        <f>D41/B41</f>
        <v>2240029.9728080891</v>
      </c>
      <c r="H41" s="1410">
        <f>G41*0.871748</f>
        <v>1952741.648735506</v>
      </c>
    </row>
    <row r="42" spans="1:8" ht="18" customHeight="1">
      <c r="A42" s="137" t="s">
        <v>2009</v>
      </c>
      <c r="B42" s="138">
        <f>Landfills!B153</f>
        <v>100</v>
      </c>
      <c r="C42" s="138">
        <f>Landfills!B159</f>
        <v>73487936.630810007</v>
      </c>
      <c r="D42" s="138">
        <f>C42/0.112194</f>
        <v>655007724.39533317</v>
      </c>
      <c r="E42" s="138">
        <f t="shared" si="0"/>
        <v>571061660.32723033</v>
      </c>
      <c r="F42" s="138">
        <f>C42/B42</f>
        <v>734879.36630810006</v>
      </c>
      <c r="G42" s="150">
        <f>D42/B42</f>
        <v>6550077.2439533314</v>
      </c>
      <c r="H42" s="1411">
        <f>G42*0.871748</f>
        <v>5710016.737261829</v>
      </c>
    </row>
    <row r="43" spans="1:8" ht="18" customHeight="1">
      <c r="A43" s="140" t="s">
        <v>2126</v>
      </c>
      <c r="B43" s="141">
        <f>'Livestock, agriculture'!B285</f>
        <v>163</v>
      </c>
      <c r="C43" s="141">
        <f>'Livestock, agriculture'!B291</f>
        <v>27056544.084181625</v>
      </c>
      <c r="D43" s="141">
        <f>C43/0.112194</f>
        <v>241158565.37944654</v>
      </c>
      <c r="E43" s="141">
        <f t="shared" si="0"/>
        <v>210251582.71965697</v>
      </c>
      <c r="F43" s="141">
        <f>C43/B43</f>
        <v>165991.06800111427</v>
      </c>
      <c r="G43" s="152">
        <f>D43/B43</f>
        <v>1479500.4011008991</v>
      </c>
      <c r="H43" s="1412">
        <f>G43*0.871748</f>
        <v>1289751.5156589064</v>
      </c>
    </row>
    <row r="44" spans="1:8" ht="18" customHeight="1">
      <c r="A44" s="143" t="s">
        <v>2012</v>
      </c>
      <c r="B44" s="162">
        <f>WRRFs!B61</f>
        <v>29</v>
      </c>
      <c r="C44" s="162">
        <f>WRRFs!B67</f>
        <v>4627925.0644739997</v>
      </c>
      <c r="D44" s="162">
        <f>C44/0.112194</f>
        <v>41249309.806888066</v>
      </c>
      <c r="E44" s="162">
        <f t="shared" si="0"/>
        <v>35962780.999902412</v>
      </c>
      <c r="F44" s="162">
        <f>C44/B44</f>
        <v>159583.62291289654</v>
      </c>
      <c r="G44" s="154">
        <f>D44/B44</f>
        <v>1422389.9933409677</v>
      </c>
      <c r="H44" s="1413">
        <f>G44*0.871748</f>
        <v>1239965.6319150019</v>
      </c>
    </row>
    <row r="45" spans="1:8" ht="18" customHeight="1">
      <c r="A45" s="163" t="s">
        <v>2994</v>
      </c>
      <c r="B45" s="164">
        <f>SUM(B41:B44)</f>
        <v>305</v>
      </c>
      <c r="C45" s="164">
        <f>SUM(C41:C44)</f>
        <v>108439538.77546564</v>
      </c>
      <c r="D45" s="164">
        <f>SUM(D41:D44)</f>
        <v>966535989.2281729</v>
      </c>
      <c r="E45" s="170">
        <f t="shared" si="0"/>
        <v>842664332.3698107</v>
      </c>
      <c r="F45" s="164">
        <f>C45/B45</f>
        <v>355539.47139496933</v>
      </c>
      <c r="G45" s="228">
        <f>D45/B45</f>
        <v>3168970.4564858126</v>
      </c>
      <c r="H45" s="1414">
        <f>G45*0.871748</f>
        <v>2762543.6575005939</v>
      </c>
    </row>
    <row r="46" spans="1:8" ht="17.45" customHeight="1">
      <c r="A46" s="165" t="s">
        <v>2585</v>
      </c>
      <c r="B46" s="166">
        <v>275</v>
      </c>
      <c r="C46" s="167">
        <v>88859959.764249623</v>
      </c>
      <c r="D46" s="167">
        <f>C46/0.112194</f>
        <v>792020605.06131899</v>
      </c>
      <c r="E46" s="157">
        <f t="shared" si="0"/>
        <v>690514912.86950219</v>
      </c>
      <c r="F46" s="167">
        <v>323127.12641545315</v>
      </c>
      <c r="G46" s="229">
        <v>2880074.927495705</v>
      </c>
      <c r="H46" s="1415">
        <v>2510699.5578945256</v>
      </c>
    </row>
    <row r="47" spans="1:8" ht="20.45" customHeight="1">
      <c r="A47" s="168" t="s">
        <v>2992</v>
      </c>
      <c r="B47" s="169">
        <f>(B45-B46)/B46</f>
        <v>0.10909090909090909</v>
      </c>
      <c r="C47" s="169">
        <f t="shared" ref="C47:H47" si="1">(C45-C46)/C46</f>
        <v>0.22034197475625375</v>
      </c>
      <c r="D47" s="169">
        <f t="shared" si="1"/>
        <v>0.22034197475625367</v>
      </c>
      <c r="E47" s="169">
        <f t="shared" si="1"/>
        <v>0.22034197475625361</v>
      </c>
      <c r="F47" s="169">
        <f t="shared" si="1"/>
        <v>0.10030833789498303</v>
      </c>
      <c r="G47" s="230">
        <f t="shared" si="1"/>
        <v>0.10030833789498292</v>
      </c>
      <c r="H47" s="1416">
        <f t="shared" si="1"/>
        <v>0.10030833789498293</v>
      </c>
    </row>
    <row r="51" spans="1:5" ht="14.25" customHeight="1">
      <c r="A51" s="603" t="s">
        <v>3159</v>
      </c>
      <c r="B51" s="133"/>
      <c r="C51" s="133"/>
      <c r="D51" s="133"/>
      <c r="E51" s="133"/>
    </row>
    <row r="52" spans="1:5" ht="14.25" customHeight="1">
      <c r="A52" s="603"/>
      <c r="B52" s="133"/>
      <c r="C52" s="133"/>
      <c r="D52" s="133"/>
      <c r="E52" s="133"/>
    </row>
    <row r="53" spans="1:5" ht="29.1" customHeight="1">
      <c r="A53" s="1427" t="s">
        <v>3171</v>
      </c>
      <c r="B53" s="115" t="s">
        <v>3162</v>
      </c>
      <c r="C53" s="115" t="s">
        <v>911</v>
      </c>
      <c r="D53" s="115" t="s">
        <v>3163</v>
      </c>
      <c r="E53" s="115" t="s">
        <v>3164</v>
      </c>
    </row>
    <row r="54" spans="1:5" ht="14.25" customHeight="1">
      <c r="A54" s="222" t="s">
        <v>2008</v>
      </c>
      <c r="B54" s="223">
        <f>'Food Waste'!B56</f>
        <v>10</v>
      </c>
      <c r="C54" s="995">
        <f>'Food Waste'!B62</f>
        <v>3987587.8230165648</v>
      </c>
      <c r="D54" s="223">
        <f>C54/0.112194</f>
        <v>35541899.058920838</v>
      </c>
      <c r="E54" s="223">
        <f>D54*0.871748</f>
        <v>30983579.42081612</v>
      </c>
    </row>
    <row r="55" spans="1:5" ht="14.25" customHeight="1">
      <c r="A55" s="137" t="s">
        <v>2009</v>
      </c>
      <c r="B55" s="150">
        <f>Landfills!B154</f>
        <v>26</v>
      </c>
      <c r="C55" s="997">
        <f>Landfills!B160</f>
        <v>20680914.565000001</v>
      </c>
      <c r="D55" s="994">
        <f>C55/0.112194</f>
        <v>184331734.00538355</v>
      </c>
      <c r="E55" s="138">
        <f>D55*0.871748</f>
        <v>160690820.4557251</v>
      </c>
    </row>
    <row r="56" spans="1:5" ht="14.25" customHeight="1">
      <c r="A56" s="140" t="s">
        <v>2010</v>
      </c>
      <c r="B56" s="141">
        <f>'Livestock, agriculture'!B286</f>
        <v>84</v>
      </c>
      <c r="C56" s="996">
        <f>'Livestock, agriculture'!B292</f>
        <v>10482203.638600001</v>
      </c>
      <c r="D56" s="141">
        <f>C56/0.112194</f>
        <v>93429271.071536809</v>
      </c>
      <c r="E56" s="141">
        <f>D56*0.871748</f>
        <v>81446780.198070064</v>
      </c>
    </row>
    <row r="57" spans="1:5" ht="14.25" customHeight="1">
      <c r="A57" s="143" t="s">
        <v>2012</v>
      </c>
      <c r="B57" s="162">
        <f>WRRFs!B62</f>
        <v>5</v>
      </c>
      <c r="C57" s="703">
        <f>WRRFs!B68</f>
        <v>344073.85978499998</v>
      </c>
      <c r="D57" s="162">
        <f>C57/0.112194</f>
        <v>3066775.9397561364</v>
      </c>
      <c r="E57" s="162">
        <f>D57*0.871748</f>
        <v>2673455.7919305321</v>
      </c>
    </row>
    <row r="58" spans="1:5" ht="18" customHeight="1">
      <c r="A58" s="163" t="s">
        <v>2994</v>
      </c>
      <c r="B58" s="164">
        <f>SUM(B54:B57)</f>
        <v>125</v>
      </c>
      <c r="C58" s="164">
        <f>SUM(C54:C57)</f>
        <v>35494779.886401564</v>
      </c>
      <c r="D58" s="164">
        <f>SUM(D54:D57)</f>
        <v>316369680.07559735</v>
      </c>
      <c r="E58" s="170">
        <f>D58*0.871748</f>
        <v>275794635.8665418</v>
      </c>
    </row>
    <row r="59" spans="1:5" ht="17.45" customHeight="1">
      <c r="A59" s="165" t="s">
        <v>2585</v>
      </c>
      <c r="B59" s="157">
        <v>78</v>
      </c>
      <c r="C59" s="157">
        <v>20367772</v>
      </c>
      <c r="D59" s="157">
        <v>181540652.79783231</v>
      </c>
      <c r="E59" s="157">
        <v>158257700.99520472</v>
      </c>
    </row>
    <row r="60" spans="1:5" ht="22.7" customHeight="1">
      <c r="A60" s="168" t="s">
        <v>2992</v>
      </c>
      <c r="B60" s="169">
        <f>(B58-B59)/B59</f>
        <v>0.60256410256410253</v>
      </c>
      <c r="C60" s="169">
        <f>(C58-C59)/C59</f>
        <v>0.74269330422598823</v>
      </c>
      <c r="D60" s="169">
        <f>(D58-D59)/D59</f>
        <v>0.74269330422598856</v>
      </c>
      <c r="E60" s="169">
        <f>(E58-E59)/E59</f>
        <v>0.74269330422598845</v>
      </c>
    </row>
    <row r="61" spans="1:5" ht="14.25" customHeight="1">
      <c r="A61" s="325"/>
      <c r="B61" s="326"/>
      <c r="C61" s="133"/>
      <c r="D61" s="133"/>
      <c r="E61" s="133"/>
    </row>
    <row r="62" spans="1:5" ht="14.25" customHeight="1">
      <c r="A62" s="134"/>
      <c r="B62" s="133"/>
      <c r="C62" s="133"/>
      <c r="D62" s="133"/>
      <c r="E62" s="133"/>
    </row>
    <row r="63" spans="1:5" ht="14.25" customHeight="1">
      <c r="A63" s="603" t="s">
        <v>3160</v>
      </c>
      <c r="B63" s="133"/>
      <c r="C63" s="133"/>
      <c r="D63" s="133"/>
      <c r="E63" s="133"/>
    </row>
    <row r="64" spans="1:5" ht="18" customHeight="1">
      <c r="A64" s="1427" t="s">
        <v>3172</v>
      </c>
      <c r="B64" s="115" t="s">
        <v>3161</v>
      </c>
      <c r="C64" s="133"/>
      <c r="D64" s="133"/>
      <c r="E64" s="133"/>
    </row>
    <row r="65" spans="1:2" ht="17.100000000000001" customHeight="1">
      <c r="A65" s="222" t="s">
        <v>2008</v>
      </c>
      <c r="B65" s="223">
        <v>20</v>
      </c>
    </row>
    <row r="66" spans="1:2" ht="17.100000000000001" customHeight="1">
      <c r="A66" s="137" t="s">
        <v>2009</v>
      </c>
      <c r="B66" s="138">
        <v>34</v>
      </c>
    </row>
    <row r="67" spans="1:2" ht="16.5" customHeight="1">
      <c r="A67" s="140" t="s">
        <v>2010</v>
      </c>
      <c r="B67" s="141">
        <v>52</v>
      </c>
    </row>
    <row r="68" spans="1:2" ht="15.6" customHeight="1">
      <c r="A68" s="143" t="s">
        <v>2012</v>
      </c>
      <c r="B68" s="162">
        <v>5</v>
      </c>
    </row>
    <row r="69" spans="1:2" ht="18.95" customHeight="1">
      <c r="A69" s="977" t="s">
        <v>2994</v>
      </c>
      <c r="B69" s="978">
        <f>SUM(B65:B68)</f>
        <v>111</v>
      </c>
    </row>
  </sheetData>
  <mergeCells count="1">
    <mergeCell ref="I2:AI2"/>
  </mergeCells>
  <pageMargins left="0" right="0" top="0.75" bottom="0.75" header="0.3" footer="0.3"/>
  <pageSetup scale="75" orientation="landscape" r:id="rId1"/>
  <ignoredErrors>
    <ignoredError sqref="D45"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43EDA-379C-4130-B608-FDF748A2EB75}">
  <dimension ref="A1:J315"/>
  <sheetViews>
    <sheetView topLeftCell="A221" workbookViewId="0">
      <selection activeCell="A243" sqref="A243:D252"/>
    </sheetView>
  </sheetViews>
  <sheetFormatPr defaultColWidth="12.625" defaultRowHeight="15" customHeight="1"/>
  <cols>
    <col min="1" max="1" width="15" style="1444" customWidth="1"/>
    <col min="2" max="2" width="53.625" style="1444" customWidth="1"/>
    <col min="3" max="3" width="5.5" style="1444" customWidth="1"/>
    <col min="4" max="4" width="12.5" style="1444" customWidth="1"/>
    <col min="5" max="5" width="7.125" style="956" customWidth="1"/>
    <col min="6" max="6" width="13.375" style="1444" customWidth="1"/>
    <col min="7" max="7" width="34.625" style="1444" customWidth="1"/>
    <col min="8" max="9" width="12.625" style="1444"/>
    <col min="10" max="10" width="12.625" style="1445"/>
    <col min="11" max="16384" width="12.625" style="1444"/>
  </cols>
  <sheetData>
    <row r="1" spans="1:5" ht="14.25" customHeight="1">
      <c r="A1" s="1442" t="s">
        <v>2966</v>
      </c>
      <c r="B1" s="938"/>
      <c r="C1" s="938"/>
      <c r="D1" s="938"/>
      <c r="E1" s="1443"/>
    </row>
    <row r="2" spans="1:5" ht="12" customHeight="1">
      <c r="A2" s="1442"/>
      <c r="B2" s="938"/>
      <c r="C2" s="938"/>
      <c r="D2" s="938"/>
      <c r="E2" s="1443"/>
    </row>
    <row r="3" spans="1:5" ht="14.25" hidden="1" customHeight="1">
      <c r="A3" s="938"/>
      <c r="B3" s="938"/>
      <c r="C3" s="938"/>
      <c r="D3" s="938"/>
      <c r="E3" s="1443"/>
    </row>
    <row r="4" spans="1:5" ht="42.95" customHeight="1">
      <c r="A4" s="1446" t="s">
        <v>2122</v>
      </c>
      <c r="B4" s="1446" t="s">
        <v>2123</v>
      </c>
      <c r="C4" s="1446" t="s">
        <v>2124</v>
      </c>
      <c r="D4" s="1447" t="s">
        <v>2967</v>
      </c>
    </row>
    <row r="5" spans="1:5" ht="14.25" customHeight="1">
      <c r="A5" s="1448" t="s">
        <v>277</v>
      </c>
      <c r="B5" s="1449" t="s">
        <v>32</v>
      </c>
      <c r="C5" s="1450" t="s">
        <v>35</v>
      </c>
      <c r="D5" s="1450" t="s">
        <v>30</v>
      </c>
    </row>
    <row r="6" spans="1:5" ht="14.25" customHeight="1">
      <c r="A6" s="1448" t="s">
        <v>277</v>
      </c>
      <c r="B6" s="1449" t="s">
        <v>46</v>
      </c>
      <c r="C6" s="1450" t="s">
        <v>35</v>
      </c>
      <c r="D6" s="1450" t="s">
        <v>30</v>
      </c>
    </row>
    <row r="7" spans="1:5" ht="14.25" customHeight="1">
      <c r="A7" s="1448" t="s">
        <v>277</v>
      </c>
      <c r="B7" s="1449" t="s">
        <v>57</v>
      </c>
      <c r="C7" s="1450" t="s">
        <v>35</v>
      </c>
      <c r="D7" s="1450" t="s">
        <v>30</v>
      </c>
    </row>
    <row r="8" spans="1:5" ht="14.25" customHeight="1">
      <c r="A8" s="1448" t="s">
        <v>277</v>
      </c>
      <c r="B8" s="1449" t="s">
        <v>67</v>
      </c>
      <c r="C8" s="1450" t="s">
        <v>35</v>
      </c>
      <c r="D8" s="1450" t="s">
        <v>30</v>
      </c>
    </row>
    <row r="9" spans="1:5" ht="14.25" customHeight="1">
      <c r="A9" s="1448" t="s">
        <v>277</v>
      </c>
      <c r="B9" s="1449" t="s">
        <v>75</v>
      </c>
      <c r="C9" s="1450" t="s">
        <v>35</v>
      </c>
      <c r="D9" s="1450" t="s">
        <v>30</v>
      </c>
    </row>
    <row r="10" spans="1:5" ht="14.25" customHeight="1">
      <c r="A10" s="1448" t="s">
        <v>277</v>
      </c>
      <c r="B10" s="1449" t="s">
        <v>90</v>
      </c>
      <c r="C10" s="1450" t="s">
        <v>92</v>
      </c>
      <c r="D10" s="1450" t="s">
        <v>30</v>
      </c>
    </row>
    <row r="11" spans="1:5" ht="14.25" customHeight="1">
      <c r="A11" s="1448" t="s">
        <v>277</v>
      </c>
      <c r="B11" s="1449" t="s">
        <v>2964</v>
      </c>
      <c r="C11" s="1450" t="s">
        <v>171</v>
      </c>
      <c r="D11" s="1450" t="s">
        <v>30</v>
      </c>
    </row>
    <row r="12" spans="1:5" ht="14.25" customHeight="1">
      <c r="A12" s="1448" t="s">
        <v>277</v>
      </c>
      <c r="B12" s="1449" t="s">
        <v>2965</v>
      </c>
      <c r="C12" s="1450" t="s">
        <v>180</v>
      </c>
      <c r="D12" s="1450" t="s">
        <v>30</v>
      </c>
    </row>
    <row r="13" spans="1:5" ht="14.25" customHeight="1">
      <c r="A13" s="1448" t="s">
        <v>277</v>
      </c>
      <c r="B13" s="1449" t="s">
        <v>98</v>
      </c>
      <c r="C13" s="1450" t="s">
        <v>101</v>
      </c>
      <c r="D13" s="1450" t="s">
        <v>30</v>
      </c>
    </row>
    <row r="14" spans="1:5" ht="14.25" customHeight="1">
      <c r="A14" s="1448" t="s">
        <v>277</v>
      </c>
      <c r="B14" s="1449" t="s">
        <v>111</v>
      </c>
      <c r="C14" s="1450" t="s">
        <v>101</v>
      </c>
      <c r="D14" s="1450" t="s">
        <v>30</v>
      </c>
    </row>
    <row r="15" spans="1:5" ht="14.25" customHeight="1">
      <c r="A15" s="1448" t="s">
        <v>277</v>
      </c>
      <c r="B15" s="1449" t="s">
        <v>122</v>
      </c>
      <c r="C15" s="1450" t="s">
        <v>125</v>
      </c>
      <c r="D15" s="1450" t="s">
        <v>30</v>
      </c>
    </row>
    <row r="16" spans="1:5" ht="14.25" customHeight="1">
      <c r="A16" s="1448" t="s">
        <v>277</v>
      </c>
      <c r="B16" s="1449" t="s">
        <v>132</v>
      </c>
      <c r="C16" s="1450" t="s">
        <v>135</v>
      </c>
      <c r="D16" s="1450" t="s">
        <v>30</v>
      </c>
    </row>
    <row r="17" spans="1:4" ht="14.25" customHeight="1">
      <c r="A17" s="1448" t="s">
        <v>277</v>
      </c>
      <c r="B17" s="1449" t="s">
        <v>144</v>
      </c>
      <c r="C17" s="1450" t="s">
        <v>148</v>
      </c>
      <c r="D17" s="1450" t="s">
        <v>30</v>
      </c>
    </row>
    <row r="18" spans="1:4" ht="14.25" customHeight="1">
      <c r="A18" s="939" t="s">
        <v>2125</v>
      </c>
      <c r="B18" s="1451" t="s">
        <v>384</v>
      </c>
      <c r="C18" s="1452" t="s">
        <v>387</v>
      </c>
      <c r="D18" s="940" t="s">
        <v>30</v>
      </c>
    </row>
    <row r="19" spans="1:4" ht="14.25" customHeight="1">
      <c r="A19" s="939" t="s">
        <v>2125</v>
      </c>
      <c r="B19" s="1453" t="s">
        <v>2128</v>
      </c>
      <c r="C19" s="1454" t="s">
        <v>387</v>
      </c>
      <c r="D19" s="940" t="s">
        <v>30</v>
      </c>
    </row>
    <row r="20" spans="1:4" ht="14.25" customHeight="1">
      <c r="A20" s="939" t="s">
        <v>2125</v>
      </c>
      <c r="B20" s="1455" t="s">
        <v>391</v>
      </c>
      <c r="C20" s="1456" t="s">
        <v>35</v>
      </c>
      <c r="D20" s="940" t="s">
        <v>30</v>
      </c>
    </row>
    <row r="21" spans="1:4" ht="14.25" customHeight="1">
      <c r="A21" s="939" t="s">
        <v>2125</v>
      </c>
      <c r="B21" s="1453" t="s">
        <v>740</v>
      </c>
      <c r="C21" s="1457" t="s">
        <v>742</v>
      </c>
      <c r="D21" s="940" t="s">
        <v>30</v>
      </c>
    </row>
    <row r="22" spans="1:4" ht="14.25" customHeight="1">
      <c r="A22" s="939" t="s">
        <v>2125</v>
      </c>
      <c r="B22" s="1451" t="s">
        <v>397</v>
      </c>
      <c r="C22" s="1452" t="s">
        <v>400</v>
      </c>
      <c r="D22" s="940" t="s">
        <v>30</v>
      </c>
    </row>
    <row r="23" spans="1:4" ht="14.25" customHeight="1">
      <c r="A23" s="939" t="s">
        <v>2125</v>
      </c>
      <c r="B23" s="1451" t="s">
        <v>403</v>
      </c>
      <c r="C23" s="1452" t="s">
        <v>221</v>
      </c>
      <c r="D23" s="940" t="s">
        <v>30</v>
      </c>
    </row>
    <row r="24" spans="1:4" ht="14.25" customHeight="1">
      <c r="A24" s="939" t="s">
        <v>2125</v>
      </c>
      <c r="B24" s="1451" t="s">
        <v>3022</v>
      </c>
      <c r="C24" s="1454" t="s">
        <v>221</v>
      </c>
      <c r="D24" s="940" t="s">
        <v>30</v>
      </c>
    </row>
    <row r="25" spans="1:4" ht="14.25" customHeight="1">
      <c r="A25" s="939" t="s">
        <v>2125</v>
      </c>
      <c r="B25" s="1451" t="s">
        <v>408</v>
      </c>
      <c r="C25" s="1452" t="s">
        <v>92</v>
      </c>
      <c r="D25" s="940" t="s">
        <v>30</v>
      </c>
    </row>
    <row r="26" spans="1:4" ht="14.25" customHeight="1">
      <c r="A26" s="939" t="s">
        <v>2125</v>
      </c>
      <c r="B26" s="1458" t="s">
        <v>2725</v>
      </c>
      <c r="C26" s="1457" t="s">
        <v>92</v>
      </c>
      <c r="D26" s="940" t="s">
        <v>30</v>
      </c>
    </row>
    <row r="27" spans="1:4" ht="14.25" customHeight="1">
      <c r="A27" s="939" t="s">
        <v>2125</v>
      </c>
      <c r="B27" s="1459" t="s">
        <v>810</v>
      </c>
      <c r="C27" s="1460" t="s">
        <v>416</v>
      </c>
      <c r="D27" s="940" t="s">
        <v>30</v>
      </c>
    </row>
    <row r="28" spans="1:4" ht="14.25" customHeight="1">
      <c r="A28" s="939" t="s">
        <v>2125</v>
      </c>
      <c r="B28" s="1455" t="s">
        <v>420</v>
      </c>
      <c r="C28" s="1456" t="s">
        <v>422</v>
      </c>
      <c r="D28" s="940" t="s">
        <v>30</v>
      </c>
    </row>
    <row r="29" spans="1:4" ht="14.25" customHeight="1">
      <c r="A29" s="939" t="s">
        <v>2125</v>
      </c>
      <c r="B29" s="1451" t="s">
        <v>413</v>
      </c>
      <c r="C29" s="1452" t="s">
        <v>416</v>
      </c>
      <c r="D29" s="940" t="s">
        <v>30</v>
      </c>
    </row>
    <row r="30" spans="1:4" ht="14.25" customHeight="1">
      <c r="A30" s="939" t="s">
        <v>2125</v>
      </c>
      <c r="B30" s="1451" t="s">
        <v>751</v>
      </c>
      <c r="C30" s="1452" t="s">
        <v>416</v>
      </c>
      <c r="D30" s="940" t="s">
        <v>30</v>
      </c>
    </row>
    <row r="31" spans="1:4" ht="14.25" customHeight="1">
      <c r="A31" s="939" t="s">
        <v>2125</v>
      </c>
      <c r="B31" s="1461" t="s">
        <v>813</v>
      </c>
      <c r="C31" s="1452" t="s">
        <v>416</v>
      </c>
      <c r="D31" s="940" t="s">
        <v>30</v>
      </c>
    </row>
    <row r="32" spans="1:4" ht="14.25" customHeight="1">
      <c r="A32" s="939" t="s">
        <v>2125</v>
      </c>
      <c r="B32" s="1461" t="s">
        <v>2148</v>
      </c>
      <c r="C32" s="1452" t="s">
        <v>416</v>
      </c>
      <c r="D32" s="940" t="s">
        <v>30</v>
      </c>
    </row>
    <row r="33" spans="1:4" ht="14.25" customHeight="1">
      <c r="A33" s="939" t="s">
        <v>2125</v>
      </c>
      <c r="B33" s="1451" t="s">
        <v>426</v>
      </c>
      <c r="C33" s="1462" t="s">
        <v>428</v>
      </c>
      <c r="D33" s="940" t="s">
        <v>30</v>
      </c>
    </row>
    <row r="34" spans="1:4" ht="14.25" customHeight="1">
      <c r="A34" s="939" t="s">
        <v>2125</v>
      </c>
      <c r="B34" s="1453" t="s">
        <v>2174</v>
      </c>
      <c r="C34" s="1452" t="s">
        <v>428</v>
      </c>
      <c r="D34" s="940" t="s">
        <v>30</v>
      </c>
    </row>
    <row r="35" spans="1:4" ht="14.25" customHeight="1">
      <c r="A35" s="939" t="s">
        <v>2125</v>
      </c>
      <c r="B35" s="1463" t="s">
        <v>435</v>
      </c>
      <c r="C35" s="1462" t="s">
        <v>224</v>
      </c>
      <c r="D35" s="940" t="s">
        <v>30</v>
      </c>
    </row>
    <row r="36" spans="1:4" ht="14.25" customHeight="1">
      <c r="A36" s="939" t="s">
        <v>2125</v>
      </c>
      <c r="B36" s="1463" t="s">
        <v>3038</v>
      </c>
      <c r="C36" s="1462" t="s">
        <v>224</v>
      </c>
      <c r="D36" s="940" t="s">
        <v>30</v>
      </c>
    </row>
    <row r="37" spans="1:4" ht="14.25" customHeight="1">
      <c r="A37" s="939" t="s">
        <v>2125</v>
      </c>
      <c r="B37" s="1463" t="s">
        <v>442</v>
      </c>
      <c r="C37" s="1462" t="s">
        <v>224</v>
      </c>
      <c r="D37" s="940" t="s">
        <v>30</v>
      </c>
    </row>
    <row r="38" spans="1:4" ht="14.25" customHeight="1">
      <c r="A38" s="939" t="s">
        <v>2125</v>
      </c>
      <c r="B38" s="1451" t="s">
        <v>446</v>
      </c>
      <c r="C38" s="1452" t="s">
        <v>449</v>
      </c>
      <c r="D38" s="940" t="s">
        <v>30</v>
      </c>
    </row>
    <row r="39" spans="1:4" ht="14.25" customHeight="1">
      <c r="A39" s="939" t="s">
        <v>2125</v>
      </c>
      <c r="B39" s="1463" t="s">
        <v>452</v>
      </c>
      <c r="C39" s="1464" t="s">
        <v>449</v>
      </c>
      <c r="D39" s="940" t="s">
        <v>30</v>
      </c>
    </row>
    <row r="40" spans="1:4" ht="14.25" customHeight="1">
      <c r="A40" s="939" t="s">
        <v>2125</v>
      </c>
      <c r="B40" s="1453" t="s">
        <v>2158</v>
      </c>
      <c r="C40" s="1452" t="s">
        <v>449</v>
      </c>
      <c r="D40" s="940" t="s">
        <v>30</v>
      </c>
    </row>
    <row r="41" spans="1:4" ht="14.25" customHeight="1">
      <c r="A41" s="939" t="s">
        <v>2125</v>
      </c>
      <c r="B41" s="1451" t="s">
        <v>460</v>
      </c>
      <c r="C41" s="1452" t="s">
        <v>449</v>
      </c>
      <c r="D41" s="940" t="s">
        <v>30</v>
      </c>
    </row>
    <row r="42" spans="1:4" ht="14.25" customHeight="1">
      <c r="A42" s="939" t="s">
        <v>2125</v>
      </c>
      <c r="B42" s="1451" t="s">
        <v>464</v>
      </c>
      <c r="C42" s="1452" t="s">
        <v>449</v>
      </c>
      <c r="D42" s="940" t="s">
        <v>30</v>
      </c>
    </row>
    <row r="43" spans="1:4" ht="14.25" customHeight="1">
      <c r="A43" s="939" t="s">
        <v>2125</v>
      </c>
      <c r="B43" s="1465" t="s">
        <v>2594</v>
      </c>
      <c r="C43" s="1454" t="s">
        <v>314</v>
      </c>
      <c r="D43" s="940" t="s">
        <v>30</v>
      </c>
    </row>
    <row r="44" spans="1:4" ht="14.25" customHeight="1">
      <c r="A44" s="939" t="s">
        <v>2125</v>
      </c>
      <c r="B44" s="1451" t="s">
        <v>471</v>
      </c>
      <c r="C44" s="1452" t="s">
        <v>314</v>
      </c>
      <c r="D44" s="940" t="s">
        <v>30</v>
      </c>
    </row>
    <row r="45" spans="1:4" ht="14.25" customHeight="1">
      <c r="A45" s="939" t="s">
        <v>2125</v>
      </c>
      <c r="B45" s="1451" t="s">
        <v>477</v>
      </c>
      <c r="C45" s="1452" t="s">
        <v>314</v>
      </c>
      <c r="D45" s="940" t="s">
        <v>30</v>
      </c>
    </row>
    <row r="46" spans="1:4" ht="14.25" customHeight="1">
      <c r="A46" s="939" t="s">
        <v>2125</v>
      </c>
      <c r="B46" s="1451" t="s">
        <v>2173</v>
      </c>
      <c r="C46" s="1452" t="s">
        <v>314</v>
      </c>
      <c r="D46" s="940" t="s">
        <v>30</v>
      </c>
    </row>
    <row r="47" spans="1:4" ht="14.25" customHeight="1">
      <c r="A47" s="939" t="s">
        <v>2125</v>
      </c>
      <c r="B47" s="1451" t="s">
        <v>486</v>
      </c>
      <c r="C47" s="1464" t="s">
        <v>314</v>
      </c>
      <c r="D47" s="940" t="s">
        <v>30</v>
      </c>
    </row>
    <row r="48" spans="1:4" ht="14.25" customHeight="1">
      <c r="A48" s="939" t="s">
        <v>2125</v>
      </c>
      <c r="B48" s="1451" t="s">
        <v>492</v>
      </c>
      <c r="C48" s="1452" t="s">
        <v>314</v>
      </c>
      <c r="D48" s="940" t="s">
        <v>30</v>
      </c>
    </row>
    <row r="49" spans="1:4" ht="14.25" customHeight="1">
      <c r="A49" s="939" t="s">
        <v>2125</v>
      </c>
      <c r="B49" s="1451" t="s">
        <v>2658</v>
      </c>
      <c r="C49" s="1452" t="s">
        <v>357</v>
      </c>
      <c r="D49" s="940" t="s">
        <v>30</v>
      </c>
    </row>
    <row r="50" spans="1:4" ht="14.25" customHeight="1">
      <c r="A50" s="939" t="s">
        <v>2125</v>
      </c>
      <c r="B50" s="1465" t="s">
        <v>757</v>
      </c>
      <c r="C50" s="1457" t="s">
        <v>225</v>
      </c>
      <c r="D50" s="940" t="s">
        <v>30</v>
      </c>
    </row>
    <row r="51" spans="1:4" ht="14.25" customHeight="1">
      <c r="A51" s="939" t="s">
        <v>2125</v>
      </c>
      <c r="B51" s="1451" t="s">
        <v>497</v>
      </c>
      <c r="C51" s="1464" t="s">
        <v>499</v>
      </c>
      <c r="D51" s="940" t="s">
        <v>30</v>
      </c>
    </row>
    <row r="52" spans="1:4" ht="14.25" customHeight="1">
      <c r="A52" s="939" t="s">
        <v>2125</v>
      </c>
      <c r="B52" s="1451" t="s">
        <v>502</v>
      </c>
      <c r="C52" s="1452" t="s">
        <v>505</v>
      </c>
      <c r="D52" s="940" t="s">
        <v>30</v>
      </c>
    </row>
    <row r="53" spans="1:4" ht="14.25" customHeight="1">
      <c r="A53" s="939" t="s">
        <v>2125</v>
      </c>
      <c r="B53" s="1451" t="s">
        <v>2129</v>
      </c>
      <c r="C53" s="1452" t="s">
        <v>763</v>
      </c>
      <c r="D53" s="940" t="s">
        <v>30</v>
      </c>
    </row>
    <row r="54" spans="1:4" ht="14.25" customHeight="1">
      <c r="A54" s="939" t="s">
        <v>2125</v>
      </c>
      <c r="B54" s="1463" t="s">
        <v>2724</v>
      </c>
      <c r="C54" s="1452" t="s">
        <v>763</v>
      </c>
      <c r="D54" s="940" t="s">
        <v>30</v>
      </c>
    </row>
    <row r="55" spans="1:4" ht="14.25" customHeight="1">
      <c r="A55" s="939" t="s">
        <v>2125</v>
      </c>
      <c r="B55" s="1463" t="s">
        <v>2184</v>
      </c>
      <c r="C55" s="1456" t="s">
        <v>180</v>
      </c>
      <c r="D55" s="940" t="s">
        <v>30</v>
      </c>
    </row>
    <row r="56" spans="1:4" ht="14.25" customHeight="1">
      <c r="A56" s="939" t="s">
        <v>2125</v>
      </c>
      <c r="B56" s="1451" t="s">
        <v>511</v>
      </c>
      <c r="C56" s="1452" t="s">
        <v>180</v>
      </c>
      <c r="D56" s="940" t="s">
        <v>30</v>
      </c>
    </row>
    <row r="57" spans="1:4" ht="14.25" customHeight="1">
      <c r="A57" s="939" t="s">
        <v>2125</v>
      </c>
      <c r="B57" s="1451" t="s">
        <v>516</v>
      </c>
      <c r="C57" s="1464" t="s">
        <v>180</v>
      </c>
      <c r="D57" s="940" t="s">
        <v>30</v>
      </c>
    </row>
    <row r="58" spans="1:4" ht="14.25" customHeight="1">
      <c r="A58" s="939" t="s">
        <v>2125</v>
      </c>
      <c r="B58" s="1453" t="s">
        <v>771</v>
      </c>
      <c r="C58" s="1466" t="s">
        <v>528</v>
      </c>
      <c r="D58" s="940" t="s">
        <v>30</v>
      </c>
    </row>
    <row r="59" spans="1:4" ht="14.25" customHeight="1">
      <c r="A59" s="939" t="s">
        <v>2125</v>
      </c>
      <c r="B59" s="1451" t="s">
        <v>524</v>
      </c>
      <c r="C59" s="1452" t="s">
        <v>528</v>
      </c>
      <c r="D59" s="940" t="s">
        <v>30</v>
      </c>
    </row>
    <row r="60" spans="1:4" ht="14.25" customHeight="1">
      <c r="A60" s="939" t="s">
        <v>2125</v>
      </c>
      <c r="B60" s="1451" t="s">
        <v>2187</v>
      </c>
      <c r="C60" s="1452" t="s">
        <v>528</v>
      </c>
      <c r="D60" s="940" t="s">
        <v>30</v>
      </c>
    </row>
    <row r="61" spans="1:4" ht="14.25" customHeight="1">
      <c r="A61" s="939" t="s">
        <v>2125</v>
      </c>
      <c r="B61" s="1465" t="s">
        <v>536</v>
      </c>
      <c r="C61" s="1464" t="s">
        <v>101</v>
      </c>
      <c r="D61" s="940" t="s">
        <v>30</v>
      </c>
    </row>
    <row r="62" spans="1:4" ht="14.25" customHeight="1">
      <c r="A62" s="939" t="s">
        <v>2125</v>
      </c>
      <c r="B62" s="1453" t="s">
        <v>540</v>
      </c>
      <c r="C62" s="1452" t="s">
        <v>101</v>
      </c>
      <c r="D62" s="940" t="s">
        <v>30</v>
      </c>
    </row>
    <row r="63" spans="1:4" ht="14.25" customHeight="1">
      <c r="A63" s="939" t="s">
        <v>2125</v>
      </c>
      <c r="B63" s="1465" t="s">
        <v>2233</v>
      </c>
      <c r="C63" s="1454" t="s">
        <v>101</v>
      </c>
      <c r="D63" s="940" t="s">
        <v>30</v>
      </c>
    </row>
    <row r="64" spans="1:4" ht="14.25" customHeight="1">
      <c r="A64" s="939" t="s">
        <v>2125</v>
      </c>
      <c r="B64" s="1451" t="s">
        <v>2183</v>
      </c>
      <c r="C64" s="1452" t="s">
        <v>101</v>
      </c>
      <c r="D64" s="940" t="s">
        <v>30</v>
      </c>
    </row>
    <row r="65" spans="1:4" ht="14.25" customHeight="1">
      <c r="A65" s="939" t="s">
        <v>2125</v>
      </c>
      <c r="B65" s="1451" t="s">
        <v>545</v>
      </c>
      <c r="C65" s="1452" t="s">
        <v>101</v>
      </c>
      <c r="D65" s="940" t="s">
        <v>30</v>
      </c>
    </row>
    <row r="66" spans="1:4" ht="14.25" customHeight="1">
      <c r="A66" s="939" t="s">
        <v>2125</v>
      </c>
      <c r="B66" s="1467" t="s">
        <v>3083</v>
      </c>
      <c r="C66" s="1452" t="s">
        <v>101</v>
      </c>
      <c r="D66" s="940" t="s">
        <v>30</v>
      </c>
    </row>
    <row r="67" spans="1:4" ht="14.25" customHeight="1">
      <c r="A67" s="939" t="s">
        <v>2125</v>
      </c>
      <c r="B67" s="1451" t="s">
        <v>557</v>
      </c>
      <c r="C67" s="1452" t="s">
        <v>101</v>
      </c>
      <c r="D67" s="940" t="s">
        <v>30</v>
      </c>
    </row>
    <row r="68" spans="1:4" ht="14.25" customHeight="1">
      <c r="A68" s="939" t="s">
        <v>2125</v>
      </c>
      <c r="B68" s="1451" t="s">
        <v>564</v>
      </c>
      <c r="C68" s="1452" t="s">
        <v>101</v>
      </c>
      <c r="D68" s="940" t="s">
        <v>30</v>
      </c>
    </row>
    <row r="69" spans="1:4" ht="14.25" customHeight="1">
      <c r="A69" s="939" t="s">
        <v>2125</v>
      </c>
      <c r="B69" s="1451" t="s">
        <v>777</v>
      </c>
      <c r="C69" s="1452" t="s">
        <v>125</v>
      </c>
      <c r="D69" s="940" t="s">
        <v>30</v>
      </c>
    </row>
    <row r="70" spans="1:4" ht="14.25" customHeight="1">
      <c r="A70" s="939" t="s">
        <v>2125</v>
      </c>
      <c r="B70" s="1451" t="s">
        <v>2177</v>
      </c>
      <c r="C70" s="1452" t="s">
        <v>125</v>
      </c>
      <c r="D70" s="940" t="s">
        <v>30</v>
      </c>
    </row>
    <row r="71" spans="1:4" ht="14.25" customHeight="1">
      <c r="A71" s="939" t="s">
        <v>2125</v>
      </c>
      <c r="B71" s="1463" t="s">
        <v>2180</v>
      </c>
      <c r="C71" s="1452" t="s">
        <v>125</v>
      </c>
      <c r="D71" s="940" t="s">
        <v>30</v>
      </c>
    </row>
    <row r="72" spans="1:4" ht="14.25" customHeight="1">
      <c r="A72" s="939" t="s">
        <v>2125</v>
      </c>
      <c r="B72" s="1463" t="s">
        <v>574</v>
      </c>
      <c r="C72" s="1464" t="s">
        <v>125</v>
      </c>
      <c r="D72" s="940" t="s">
        <v>30</v>
      </c>
    </row>
    <row r="73" spans="1:4" ht="14.25" customHeight="1">
      <c r="A73" s="939" t="s">
        <v>2125</v>
      </c>
      <c r="B73" s="1451" t="s">
        <v>578</v>
      </c>
      <c r="C73" s="1452" t="s">
        <v>240</v>
      </c>
      <c r="D73" s="940" t="s">
        <v>30</v>
      </c>
    </row>
    <row r="74" spans="1:4" ht="14.25" customHeight="1">
      <c r="A74" s="939" t="s">
        <v>2125</v>
      </c>
      <c r="B74" s="1451" t="s">
        <v>779</v>
      </c>
      <c r="C74" s="1452" t="s">
        <v>240</v>
      </c>
      <c r="D74" s="940" t="s">
        <v>30</v>
      </c>
    </row>
    <row r="75" spans="1:4" ht="14.25" customHeight="1">
      <c r="A75" s="939" t="s">
        <v>2125</v>
      </c>
      <c r="B75" s="1451" t="s">
        <v>584</v>
      </c>
      <c r="C75" s="1452" t="s">
        <v>240</v>
      </c>
      <c r="D75" s="940" t="s">
        <v>30</v>
      </c>
    </row>
    <row r="76" spans="1:4" ht="14.25" customHeight="1">
      <c r="A76" s="939" t="s">
        <v>2125</v>
      </c>
      <c r="B76" s="1451" t="s">
        <v>589</v>
      </c>
      <c r="C76" s="1452" t="s">
        <v>240</v>
      </c>
      <c r="D76" s="940" t="s">
        <v>30</v>
      </c>
    </row>
    <row r="77" spans="1:4" ht="14.25" customHeight="1">
      <c r="A77" s="939" t="s">
        <v>2125</v>
      </c>
      <c r="B77" s="1451" t="s">
        <v>594</v>
      </c>
      <c r="C77" s="1452" t="s">
        <v>240</v>
      </c>
      <c r="D77" s="940" t="s">
        <v>30</v>
      </c>
    </row>
    <row r="78" spans="1:4" ht="14.25" customHeight="1">
      <c r="A78" s="939" t="s">
        <v>2125</v>
      </c>
      <c r="B78" s="1451" t="s">
        <v>597</v>
      </c>
      <c r="C78" s="1452" t="s">
        <v>240</v>
      </c>
      <c r="D78" s="940" t="s">
        <v>30</v>
      </c>
    </row>
    <row r="79" spans="1:4" ht="14.25" customHeight="1">
      <c r="A79" s="939" t="s">
        <v>2125</v>
      </c>
      <c r="B79" s="1451" t="s">
        <v>602</v>
      </c>
      <c r="C79" s="1452" t="s">
        <v>240</v>
      </c>
      <c r="D79" s="940" t="s">
        <v>30</v>
      </c>
    </row>
    <row r="80" spans="1:4" ht="14.25" customHeight="1">
      <c r="A80" s="939" t="s">
        <v>2125</v>
      </c>
      <c r="B80" s="1453" t="s">
        <v>2593</v>
      </c>
      <c r="C80" s="1454" t="s">
        <v>240</v>
      </c>
      <c r="D80" s="940" t="s">
        <v>30</v>
      </c>
    </row>
    <row r="81" spans="1:4" ht="14.25" customHeight="1">
      <c r="A81" s="939" t="s">
        <v>2125</v>
      </c>
      <c r="B81" s="1451" t="s">
        <v>607</v>
      </c>
      <c r="C81" s="1452" t="s">
        <v>240</v>
      </c>
      <c r="D81" s="940" t="s">
        <v>30</v>
      </c>
    </row>
    <row r="82" spans="1:4" ht="14.25" customHeight="1">
      <c r="A82" s="939" t="s">
        <v>2125</v>
      </c>
      <c r="B82" s="1451" t="s">
        <v>611</v>
      </c>
      <c r="C82" s="1452" t="s">
        <v>240</v>
      </c>
      <c r="D82" s="940" t="s">
        <v>30</v>
      </c>
    </row>
    <row r="83" spans="1:4" ht="14.25" customHeight="1">
      <c r="A83" s="939" t="s">
        <v>2125</v>
      </c>
      <c r="B83" s="1451" t="s">
        <v>615</v>
      </c>
      <c r="C83" s="1464" t="s">
        <v>240</v>
      </c>
      <c r="D83" s="940" t="s">
        <v>30</v>
      </c>
    </row>
    <row r="84" spans="1:4" ht="14.25" customHeight="1">
      <c r="A84" s="939" t="s">
        <v>2125</v>
      </c>
      <c r="B84" s="1463" t="s">
        <v>788</v>
      </c>
      <c r="C84" s="1464" t="s">
        <v>791</v>
      </c>
      <c r="D84" s="940" t="s">
        <v>30</v>
      </c>
    </row>
    <row r="85" spans="1:4" ht="14.25" customHeight="1">
      <c r="A85" s="939" t="s">
        <v>2125</v>
      </c>
      <c r="B85" s="1451" t="s">
        <v>619</v>
      </c>
      <c r="C85" s="1452" t="s">
        <v>622</v>
      </c>
      <c r="D85" s="940" t="s">
        <v>30</v>
      </c>
    </row>
    <row r="86" spans="1:4" ht="14.25" customHeight="1">
      <c r="A86" s="939" t="s">
        <v>2125</v>
      </c>
      <c r="B86" s="1451" t="s">
        <v>625</v>
      </c>
      <c r="C86" s="1452" t="s">
        <v>622</v>
      </c>
      <c r="D86" s="940" t="s">
        <v>30</v>
      </c>
    </row>
    <row r="87" spans="1:4" ht="14.25" customHeight="1">
      <c r="A87" s="939" t="s">
        <v>2125</v>
      </c>
      <c r="B87" s="1451" t="s">
        <v>2176</v>
      </c>
      <c r="C87" s="1452" t="s">
        <v>622</v>
      </c>
      <c r="D87" s="940" t="s">
        <v>30</v>
      </c>
    </row>
    <row r="88" spans="1:4" ht="14.25" customHeight="1">
      <c r="A88" s="939" t="s">
        <v>2125</v>
      </c>
      <c r="B88" s="1468" t="s">
        <v>2181</v>
      </c>
      <c r="C88" s="1456" t="s">
        <v>622</v>
      </c>
      <c r="D88" s="940" t="s">
        <v>30</v>
      </c>
    </row>
    <row r="89" spans="1:4" ht="14.25" customHeight="1">
      <c r="A89" s="939" t="s">
        <v>2125</v>
      </c>
      <c r="B89" s="1463" t="s">
        <v>636</v>
      </c>
      <c r="C89" s="1464" t="s">
        <v>237</v>
      </c>
      <c r="D89" s="940" t="s">
        <v>30</v>
      </c>
    </row>
    <row r="90" spans="1:4" ht="14.25" customHeight="1">
      <c r="A90" s="939" t="s">
        <v>2125</v>
      </c>
      <c r="B90" s="1455" t="s">
        <v>641</v>
      </c>
      <c r="C90" s="1456" t="s">
        <v>237</v>
      </c>
      <c r="D90" s="940" t="s">
        <v>30</v>
      </c>
    </row>
    <row r="91" spans="1:4" ht="14.25" customHeight="1">
      <c r="A91" s="939" t="s">
        <v>2125</v>
      </c>
      <c r="B91" s="1451" t="s">
        <v>647</v>
      </c>
      <c r="C91" s="1452" t="s">
        <v>237</v>
      </c>
      <c r="D91" s="940" t="s">
        <v>30</v>
      </c>
    </row>
    <row r="92" spans="1:4" ht="14.25" customHeight="1">
      <c r="A92" s="939" t="s">
        <v>2125</v>
      </c>
      <c r="B92" s="1451" t="s">
        <v>652</v>
      </c>
      <c r="C92" s="1452" t="s">
        <v>237</v>
      </c>
      <c r="D92" s="940" t="s">
        <v>30</v>
      </c>
    </row>
    <row r="93" spans="1:4" ht="14.25" customHeight="1">
      <c r="A93" s="939" t="s">
        <v>2125</v>
      </c>
      <c r="B93" s="1451" t="s">
        <v>658</v>
      </c>
      <c r="C93" s="1452" t="s">
        <v>237</v>
      </c>
      <c r="D93" s="940" t="s">
        <v>30</v>
      </c>
    </row>
    <row r="94" spans="1:4" ht="14.25" customHeight="1">
      <c r="A94" s="939" t="s">
        <v>2125</v>
      </c>
      <c r="B94" s="1451" t="s">
        <v>831</v>
      </c>
      <c r="C94" s="1452" t="s">
        <v>237</v>
      </c>
      <c r="D94" s="940" t="s">
        <v>30</v>
      </c>
    </row>
    <row r="95" spans="1:4" ht="14.25" customHeight="1">
      <c r="A95" s="939" t="s">
        <v>2125</v>
      </c>
      <c r="B95" s="1451" t="s">
        <v>663</v>
      </c>
      <c r="C95" s="1452" t="s">
        <v>237</v>
      </c>
      <c r="D95" s="940" t="s">
        <v>30</v>
      </c>
    </row>
    <row r="96" spans="1:4" ht="14.25" customHeight="1">
      <c r="A96" s="939" t="s">
        <v>2125</v>
      </c>
      <c r="B96" s="1451" t="s">
        <v>667</v>
      </c>
      <c r="C96" s="1452" t="s">
        <v>237</v>
      </c>
      <c r="D96" s="940" t="s">
        <v>30</v>
      </c>
    </row>
    <row r="97" spans="1:4" ht="14.25" customHeight="1">
      <c r="A97" s="939" t="s">
        <v>2125</v>
      </c>
      <c r="B97" s="1451" t="s">
        <v>2595</v>
      </c>
      <c r="C97" s="1452" t="s">
        <v>237</v>
      </c>
      <c r="D97" s="940" t="s">
        <v>30</v>
      </c>
    </row>
    <row r="98" spans="1:4" ht="14.25" customHeight="1">
      <c r="A98" s="939" t="s">
        <v>2125</v>
      </c>
      <c r="B98" s="1451" t="s">
        <v>668</v>
      </c>
      <c r="C98" s="1452" t="s">
        <v>237</v>
      </c>
      <c r="D98" s="940" t="s">
        <v>30</v>
      </c>
    </row>
    <row r="99" spans="1:4" ht="14.25" customHeight="1">
      <c r="A99" s="939" t="s">
        <v>2125</v>
      </c>
      <c r="B99" s="1451" t="s">
        <v>673</v>
      </c>
      <c r="C99" s="1464" t="s">
        <v>237</v>
      </c>
      <c r="D99" s="940" t="s">
        <v>30</v>
      </c>
    </row>
    <row r="100" spans="1:4" ht="14.25" customHeight="1">
      <c r="A100" s="939" t="s">
        <v>2125</v>
      </c>
      <c r="B100" s="1463" t="s">
        <v>677</v>
      </c>
      <c r="C100" s="1464" t="s">
        <v>237</v>
      </c>
      <c r="D100" s="940" t="s">
        <v>30</v>
      </c>
    </row>
    <row r="101" spans="1:4" ht="14.25" customHeight="1">
      <c r="A101" s="939" t="s">
        <v>2125</v>
      </c>
      <c r="B101" s="1451" t="s">
        <v>2137</v>
      </c>
      <c r="C101" s="1452" t="s">
        <v>237</v>
      </c>
      <c r="D101" s="940" t="s">
        <v>30</v>
      </c>
    </row>
    <row r="102" spans="1:4" ht="14.25" customHeight="1">
      <c r="A102" s="939" t="s">
        <v>2125</v>
      </c>
      <c r="B102" s="1451" t="s">
        <v>685</v>
      </c>
      <c r="C102" s="1464" t="s">
        <v>237</v>
      </c>
      <c r="D102" s="940" t="s">
        <v>30</v>
      </c>
    </row>
    <row r="103" spans="1:4" ht="14.25" customHeight="1">
      <c r="A103" s="939" t="s">
        <v>2125</v>
      </c>
      <c r="B103" s="1451" t="s">
        <v>688</v>
      </c>
      <c r="C103" s="1452" t="s">
        <v>237</v>
      </c>
      <c r="D103" s="940" t="s">
        <v>30</v>
      </c>
    </row>
    <row r="104" spans="1:4" ht="14.25" customHeight="1">
      <c r="A104" s="939" t="s">
        <v>2125</v>
      </c>
      <c r="B104" s="1455" t="s">
        <v>694</v>
      </c>
      <c r="C104" s="1462" t="s">
        <v>237</v>
      </c>
      <c r="D104" s="940" t="s">
        <v>30</v>
      </c>
    </row>
    <row r="105" spans="1:4" ht="14.25" customHeight="1">
      <c r="A105" s="939" t="s">
        <v>2125</v>
      </c>
      <c r="B105" s="1451" t="s">
        <v>700</v>
      </c>
      <c r="C105" s="1464" t="s">
        <v>237</v>
      </c>
      <c r="D105" s="940" t="s">
        <v>30</v>
      </c>
    </row>
    <row r="106" spans="1:4" ht="14.25" customHeight="1">
      <c r="A106" s="939" t="s">
        <v>2125</v>
      </c>
      <c r="B106" s="1451" t="s">
        <v>707</v>
      </c>
      <c r="C106" s="1452" t="s">
        <v>237</v>
      </c>
      <c r="D106" s="940" t="s">
        <v>30</v>
      </c>
    </row>
    <row r="107" spans="1:4" ht="14.25" customHeight="1">
      <c r="A107" s="939" t="s">
        <v>2125</v>
      </c>
      <c r="B107" s="1465" t="s">
        <v>2626</v>
      </c>
      <c r="C107" s="1464" t="s">
        <v>237</v>
      </c>
      <c r="D107" s="940" t="s">
        <v>30</v>
      </c>
    </row>
    <row r="108" spans="1:4" ht="14.25" customHeight="1">
      <c r="A108" s="939" t="s">
        <v>2125</v>
      </c>
      <c r="B108" s="1045" t="s">
        <v>3096</v>
      </c>
      <c r="C108" s="1464" t="s">
        <v>237</v>
      </c>
      <c r="D108" s="940" t="s">
        <v>30</v>
      </c>
    </row>
    <row r="109" spans="1:4" ht="14.25" customHeight="1">
      <c r="A109" s="939" t="s">
        <v>2125</v>
      </c>
      <c r="B109" s="1469" t="s">
        <v>3094</v>
      </c>
      <c r="C109" s="1464" t="s">
        <v>1531</v>
      </c>
      <c r="D109" s="940" t="s">
        <v>30</v>
      </c>
    </row>
    <row r="110" spans="1:4" ht="14.25" customHeight="1">
      <c r="A110" s="939" t="s">
        <v>2125</v>
      </c>
      <c r="B110" s="1465" t="s">
        <v>3031</v>
      </c>
      <c r="C110" s="1464" t="s">
        <v>1531</v>
      </c>
      <c r="D110" s="940" t="s">
        <v>30</v>
      </c>
    </row>
    <row r="111" spans="1:4" ht="14.25" customHeight="1">
      <c r="A111" s="939" t="s">
        <v>2125</v>
      </c>
      <c r="B111" s="1451" t="s">
        <v>711</v>
      </c>
      <c r="C111" s="1452" t="s">
        <v>148</v>
      </c>
      <c r="D111" s="940" t="s">
        <v>30</v>
      </c>
    </row>
    <row r="112" spans="1:4" ht="14.25" customHeight="1">
      <c r="A112" s="939" t="s">
        <v>2125</v>
      </c>
      <c r="B112" s="1451" t="s">
        <v>717</v>
      </c>
      <c r="C112" s="1464" t="s">
        <v>148</v>
      </c>
      <c r="D112" s="940" t="s">
        <v>30</v>
      </c>
    </row>
    <row r="113" spans="1:4" ht="14.25" customHeight="1">
      <c r="A113" s="939" t="s">
        <v>2125</v>
      </c>
      <c r="B113" s="1453" t="s">
        <v>2230</v>
      </c>
      <c r="C113" s="1457" t="s">
        <v>155</v>
      </c>
      <c r="D113" s="940" t="s">
        <v>30</v>
      </c>
    </row>
    <row r="114" spans="1:4" ht="14.25" customHeight="1">
      <c r="A114" s="939" t="s">
        <v>2125</v>
      </c>
      <c r="B114" s="1451" t="s">
        <v>724</v>
      </c>
      <c r="C114" s="1452" t="s">
        <v>155</v>
      </c>
      <c r="D114" s="940" t="s">
        <v>30</v>
      </c>
    </row>
    <row r="115" spans="1:4" ht="14.25" customHeight="1">
      <c r="A115" s="939" t="s">
        <v>2125</v>
      </c>
      <c r="B115" s="1453" t="s">
        <v>2250</v>
      </c>
      <c r="C115" s="1457" t="s">
        <v>155</v>
      </c>
      <c r="D115" s="940" t="s">
        <v>30</v>
      </c>
    </row>
    <row r="116" spans="1:4" ht="14.25" customHeight="1">
      <c r="A116" s="939" t="s">
        <v>2125</v>
      </c>
      <c r="B116" s="1453" t="s">
        <v>797</v>
      </c>
      <c r="C116" s="1454" t="s">
        <v>155</v>
      </c>
      <c r="D116" s="940" t="s">
        <v>30</v>
      </c>
    </row>
    <row r="117" spans="1:4" ht="14.25" customHeight="1">
      <c r="A117" s="939" t="s">
        <v>2125</v>
      </c>
      <c r="B117" s="1451" t="s">
        <v>731</v>
      </c>
      <c r="C117" s="1464" t="s">
        <v>732</v>
      </c>
      <c r="D117" s="940" t="s">
        <v>30</v>
      </c>
    </row>
    <row r="118" spans="1:4" ht="14.25" customHeight="1">
      <c r="A118" s="941" t="s">
        <v>2126</v>
      </c>
      <c r="B118" s="1470" t="s">
        <v>1301</v>
      </c>
      <c r="C118" s="1471" t="s">
        <v>918</v>
      </c>
      <c r="D118" s="1471" t="s">
        <v>30</v>
      </c>
    </row>
    <row r="119" spans="1:4" ht="14.25" customHeight="1">
      <c r="A119" s="941" t="s">
        <v>2126</v>
      </c>
      <c r="B119" s="1470" t="s">
        <v>1305</v>
      </c>
      <c r="C119" s="1472" t="s">
        <v>918</v>
      </c>
      <c r="D119" s="1471" t="s">
        <v>30</v>
      </c>
    </row>
    <row r="120" spans="1:4" ht="14.25" customHeight="1">
      <c r="A120" s="941" t="s">
        <v>2126</v>
      </c>
      <c r="B120" s="1473" t="s">
        <v>1291</v>
      </c>
      <c r="C120" s="1474" t="s">
        <v>918</v>
      </c>
      <c r="D120" s="1471" t="s">
        <v>30</v>
      </c>
    </row>
    <row r="121" spans="1:4" ht="14.25" customHeight="1">
      <c r="A121" s="941" t="s">
        <v>2126</v>
      </c>
      <c r="B121" s="1475" t="s">
        <v>915</v>
      </c>
      <c r="C121" s="1476" t="s">
        <v>918</v>
      </c>
      <c r="D121" s="1471" t="s">
        <v>30</v>
      </c>
    </row>
    <row r="122" spans="1:4" ht="14.25" customHeight="1">
      <c r="A122" s="941" t="s">
        <v>2126</v>
      </c>
      <c r="B122" s="1475" t="s">
        <v>2289</v>
      </c>
      <c r="C122" s="1477" t="s">
        <v>35</v>
      </c>
      <c r="D122" s="1471" t="s">
        <v>30</v>
      </c>
    </row>
    <row r="123" spans="1:4" ht="14.25" customHeight="1">
      <c r="A123" s="941" t="s">
        <v>2126</v>
      </c>
      <c r="B123" s="1475" t="s">
        <v>2290</v>
      </c>
      <c r="C123" s="1477" t="s">
        <v>35</v>
      </c>
      <c r="D123" s="1471" t="s">
        <v>30</v>
      </c>
    </row>
    <row r="124" spans="1:4" ht="14.25" customHeight="1">
      <c r="A124" s="941" t="s">
        <v>2126</v>
      </c>
      <c r="B124" s="1475" t="s">
        <v>2291</v>
      </c>
      <c r="C124" s="1477" t="s">
        <v>35</v>
      </c>
      <c r="D124" s="1471" t="s">
        <v>30</v>
      </c>
    </row>
    <row r="125" spans="1:4" ht="14.25" customHeight="1">
      <c r="A125" s="941" t="s">
        <v>2126</v>
      </c>
      <c r="B125" s="1478" t="s">
        <v>1315</v>
      </c>
      <c r="C125" s="1471" t="s">
        <v>35</v>
      </c>
      <c r="D125" s="1471" t="s">
        <v>30</v>
      </c>
    </row>
    <row r="126" spans="1:4" ht="14.25" customHeight="1">
      <c r="A126" s="941" t="s">
        <v>2126</v>
      </c>
      <c r="B126" s="1478" t="s">
        <v>1540</v>
      </c>
      <c r="C126" s="1471" t="s">
        <v>35</v>
      </c>
      <c r="D126" s="1471" t="s">
        <v>30</v>
      </c>
    </row>
    <row r="127" spans="1:4" ht="14.25" customHeight="1">
      <c r="A127" s="941" t="s">
        <v>2126</v>
      </c>
      <c r="B127" s="1470" t="s">
        <v>2265</v>
      </c>
      <c r="C127" s="1471" t="s">
        <v>35</v>
      </c>
      <c r="D127" s="1471" t="s">
        <v>30</v>
      </c>
    </row>
    <row r="128" spans="1:4" ht="14.25" customHeight="1">
      <c r="A128" s="941" t="s">
        <v>2126</v>
      </c>
      <c r="B128" s="1470" t="s">
        <v>2266</v>
      </c>
      <c r="C128" s="1471" t="s">
        <v>35</v>
      </c>
      <c r="D128" s="1471" t="s">
        <v>30</v>
      </c>
    </row>
    <row r="129" spans="1:4" ht="14.25" customHeight="1">
      <c r="A129" s="941" t="s">
        <v>2126</v>
      </c>
      <c r="B129" s="1475" t="s">
        <v>2292</v>
      </c>
      <c r="C129" s="1477" t="s">
        <v>35</v>
      </c>
      <c r="D129" s="1471" t="s">
        <v>30</v>
      </c>
    </row>
    <row r="130" spans="1:4" ht="14.25" customHeight="1">
      <c r="A130" s="941" t="s">
        <v>2126</v>
      </c>
      <c r="B130" s="1475" t="s">
        <v>2340</v>
      </c>
      <c r="C130" s="1477" t="s">
        <v>35</v>
      </c>
      <c r="D130" s="1471" t="s">
        <v>30</v>
      </c>
    </row>
    <row r="131" spans="1:4" ht="14.25" customHeight="1">
      <c r="A131" s="941" t="s">
        <v>2126</v>
      </c>
      <c r="B131" s="1475" t="s">
        <v>2316</v>
      </c>
      <c r="C131" s="1477" t="s">
        <v>35</v>
      </c>
      <c r="D131" s="1471" t="s">
        <v>30</v>
      </c>
    </row>
    <row r="132" spans="1:4" ht="14.25" customHeight="1">
      <c r="A132" s="941" t="s">
        <v>2126</v>
      </c>
      <c r="B132" s="1475" t="s">
        <v>2339</v>
      </c>
      <c r="C132" s="1477" t="s">
        <v>35</v>
      </c>
      <c r="D132" s="1471" t="s">
        <v>30</v>
      </c>
    </row>
    <row r="133" spans="1:4" ht="14.25" customHeight="1">
      <c r="A133" s="941" t="s">
        <v>2126</v>
      </c>
      <c r="B133" s="1475" t="s">
        <v>2293</v>
      </c>
      <c r="C133" s="1477" t="s">
        <v>35</v>
      </c>
      <c r="D133" s="1471" t="s">
        <v>30</v>
      </c>
    </row>
    <row r="134" spans="1:4" ht="14.25" customHeight="1">
      <c r="A134" s="941" t="s">
        <v>2126</v>
      </c>
      <c r="B134" s="1475" t="s">
        <v>2317</v>
      </c>
      <c r="C134" s="1477" t="s">
        <v>35</v>
      </c>
      <c r="D134" s="1471" t="s">
        <v>30</v>
      </c>
    </row>
    <row r="135" spans="1:4" ht="14.25" customHeight="1">
      <c r="A135" s="941" t="s">
        <v>2126</v>
      </c>
      <c r="B135" s="1475" t="s">
        <v>2294</v>
      </c>
      <c r="C135" s="1477" t="s">
        <v>35</v>
      </c>
      <c r="D135" s="1471" t="s">
        <v>30</v>
      </c>
    </row>
    <row r="136" spans="1:4" ht="14.25" customHeight="1">
      <c r="A136" s="941" t="s">
        <v>2126</v>
      </c>
      <c r="B136" s="1475" t="s">
        <v>1339</v>
      </c>
      <c r="C136" s="1477" t="s">
        <v>35</v>
      </c>
      <c r="D136" s="1471" t="s">
        <v>30</v>
      </c>
    </row>
    <row r="137" spans="1:4" ht="14.25" customHeight="1">
      <c r="A137" s="941" t="s">
        <v>2126</v>
      </c>
      <c r="B137" s="1475" t="s">
        <v>2288</v>
      </c>
      <c r="C137" s="1477" t="s">
        <v>35</v>
      </c>
      <c r="D137" s="1471" t="s">
        <v>30</v>
      </c>
    </row>
    <row r="138" spans="1:4" ht="14.25" customHeight="1">
      <c r="A138" s="941" t="s">
        <v>2126</v>
      </c>
      <c r="B138" s="1475" t="s">
        <v>2318</v>
      </c>
      <c r="C138" s="1479" t="s">
        <v>35</v>
      </c>
      <c r="D138" s="1471" t="s">
        <v>30</v>
      </c>
    </row>
    <row r="139" spans="1:4" ht="14.25" customHeight="1">
      <c r="A139" s="941" t="s">
        <v>2126</v>
      </c>
      <c r="B139" s="1475" t="s">
        <v>2286</v>
      </c>
      <c r="C139" s="1477" t="s">
        <v>35</v>
      </c>
      <c r="D139" s="1471" t="s">
        <v>30</v>
      </c>
    </row>
    <row r="140" spans="1:4" ht="14.25" customHeight="1">
      <c r="A140" s="941" t="s">
        <v>2126</v>
      </c>
      <c r="B140" s="1475" t="s">
        <v>2287</v>
      </c>
      <c r="C140" s="1477" t="s">
        <v>35</v>
      </c>
      <c r="D140" s="1471" t="s">
        <v>30</v>
      </c>
    </row>
    <row r="141" spans="1:4" ht="14.25" customHeight="1">
      <c r="A141" s="941" t="s">
        <v>2126</v>
      </c>
      <c r="B141" s="1475" t="s">
        <v>2319</v>
      </c>
      <c r="C141" s="1477" t="s">
        <v>35</v>
      </c>
      <c r="D141" s="1471" t="s">
        <v>30</v>
      </c>
    </row>
    <row r="142" spans="1:4" ht="14.25" customHeight="1">
      <c r="A142" s="941" t="s">
        <v>2126</v>
      </c>
      <c r="B142" s="1475" t="s">
        <v>2297</v>
      </c>
      <c r="C142" s="1477" t="s">
        <v>35</v>
      </c>
      <c r="D142" s="1471" t="s">
        <v>30</v>
      </c>
    </row>
    <row r="143" spans="1:4" ht="14.25" customHeight="1">
      <c r="A143" s="941" t="s">
        <v>2126</v>
      </c>
      <c r="B143" s="1475" t="s">
        <v>2295</v>
      </c>
      <c r="C143" s="1477" t="s">
        <v>35</v>
      </c>
      <c r="D143" s="1471" t="s">
        <v>30</v>
      </c>
    </row>
    <row r="144" spans="1:4" ht="14.25" customHeight="1">
      <c r="A144" s="941" t="s">
        <v>2126</v>
      </c>
      <c r="B144" s="1475" t="s">
        <v>2320</v>
      </c>
      <c r="C144" s="1477" t="s">
        <v>35</v>
      </c>
      <c r="D144" s="1471" t="s">
        <v>30</v>
      </c>
    </row>
    <row r="145" spans="1:4" ht="14.25" customHeight="1">
      <c r="A145" s="941" t="s">
        <v>2126</v>
      </c>
      <c r="B145" s="1475" t="s">
        <v>1347</v>
      </c>
      <c r="C145" s="1479" t="s">
        <v>35</v>
      </c>
      <c r="D145" s="1471" t="s">
        <v>30</v>
      </c>
    </row>
    <row r="146" spans="1:4" ht="14.25" customHeight="1">
      <c r="A146" s="941" t="s">
        <v>2126</v>
      </c>
      <c r="B146" s="1475" t="s">
        <v>1349</v>
      </c>
      <c r="C146" s="1479" t="s">
        <v>35</v>
      </c>
      <c r="D146" s="1471" t="s">
        <v>30</v>
      </c>
    </row>
    <row r="147" spans="1:4" ht="14.25" customHeight="1">
      <c r="A147" s="941" t="s">
        <v>2126</v>
      </c>
      <c r="B147" s="1475" t="s">
        <v>2298</v>
      </c>
      <c r="C147" s="1477" t="s">
        <v>35</v>
      </c>
      <c r="D147" s="1471" t="s">
        <v>30</v>
      </c>
    </row>
    <row r="148" spans="1:4" ht="14.25" customHeight="1">
      <c r="A148" s="941" t="s">
        <v>2126</v>
      </c>
      <c r="B148" s="1475" t="s">
        <v>2296</v>
      </c>
      <c r="C148" s="1477" t="s">
        <v>35</v>
      </c>
      <c r="D148" s="1471" t="s">
        <v>30</v>
      </c>
    </row>
    <row r="149" spans="1:4" ht="14.25" customHeight="1">
      <c r="A149" s="941" t="s">
        <v>2126</v>
      </c>
      <c r="B149" s="1475" t="s">
        <v>1359</v>
      </c>
      <c r="C149" s="1479" t="s">
        <v>35</v>
      </c>
      <c r="D149" s="1471" t="s">
        <v>30</v>
      </c>
    </row>
    <row r="150" spans="1:4" ht="14.25" customHeight="1">
      <c r="A150" s="941" t="s">
        <v>2126</v>
      </c>
      <c r="B150" s="1475" t="s">
        <v>2321</v>
      </c>
      <c r="C150" s="1477" t="s">
        <v>35</v>
      </c>
      <c r="D150" s="1471" t="s">
        <v>30</v>
      </c>
    </row>
    <row r="151" spans="1:4" ht="14.25" customHeight="1">
      <c r="A151" s="941" t="s">
        <v>2126</v>
      </c>
      <c r="B151" s="1475" t="s">
        <v>1363</v>
      </c>
      <c r="C151" s="1479" t="s">
        <v>35</v>
      </c>
      <c r="D151" s="1471" t="s">
        <v>30</v>
      </c>
    </row>
    <row r="152" spans="1:4" ht="14.25" customHeight="1">
      <c r="A152" s="941" t="s">
        <v>2126</v>
      </c>
      <c r="B152" s="1475" t="s">
        <v>1365</v>
      </c>
      <c r="C152" s="1479" t="s">
        <v>35</v>
      </c>
      <c r="D152" s="1471" t="s">
        <v>30</v>
      </c>
    </row>
    <row r="153" spans="1:4" ht="14.25" customHeight="1">
      <c r="A153" s="941" t="s">
        <v>2126</v>
      </c>
      <c r="B153" s="1475" t="s">
        <v>980</v>
      </c>
      <c r="C153" s="1477" t="s">
        <v>35</v>
      </c>
      <c r="D153" s="1471" t="s">
        <v>30</v>
      </c>
    </row>
    <row r="154" spans="1:4" ht="14.25" customHeight="1">
      <c r="A154" s="941" t="s">
        <v>2126</v>
      </c>
      <c r="B154" s="1475" t="s">
        <v>2322</v>
      </c>
      <c r="C154" s="1477" t="s">
        <v>35</v>
      </c>
      <c r="D154" s="1471" t="s">
        <v>30</v>
      </c>
    </row>
    <row r="155" spans="1:4" ht="14.25" customHeight="1">
      <c r="A155" s="941" t="s">
        <v>2126</v>
      </c>
      <c r="B155" s="1475" t="s">
        <v>2299</v>
      </c>
      <c r="C155" s="1477" t="s">
        <v>35</v>
      </c>
      <c r="D155" s="1471" t="s">
        <v>30</v>
      </c>
    </row>
    <row r="156" spans="1:4" ht="14.25" customHeight="1">
      <c r="A156" s="941" t="s">
        <v>2126</v>
      </c>
      <c r="B156" s="1475" t="s">
        <v>2323</v>
      </c>
      <c r="C156" s="1477" t="s">
        <v>35</v>
      </c>
      <c r="D156" s="1471" t="s">
        <v>30</v>
      </c>
    </row>
    <row r="157" spans="1:4" ht="14.25" customHeight="1">
      <c r="A157" s="941" t="s">
        <v>2126</v>
      </c>
      <c r="B157" s="1478" t="s">
        <v>1373</v>
      </c>
      <c r="C157" s="1471" t="s">
        <v>35</v>
      </c>
      <c r="D157" s="1471" t="s">
        <v>30</v>
      </c>
    </row>
    <row r="158" spans="1:4" ht="14.25" customHeight="1">
      <c r="A158" s="941" t="s">
        <v>2126</v>
      </c>
      <c r="B158" s="1475" t="s">
        <v>2324</v>
      </c>
      <c r="C158" s="1477" t="s">
        <v>35</v>
      </c>
      <c r="D158" s="1471" t="s">
        <v>30</v>
      </c>
    </row>
    <row r="159" spans="1:4" ht="14.25" customHeight="1">
      <c r="A159" s="941" t="s">
        <v>2126</v>
      </c>
      <c r="B159" s="1475" t="s">
        <v>2300</v>
      </c>
      <c r="C159" s="1477" t="s">
        <v>35</v>
      </c>
      <c r="D159" s="1471" t="s">
        <v>30</v>
      </c>
    </row>
    <row r="160" spans="1:4" ht="14.25" customHeight="1">
      <c r="A160" s="941" t="s">
        <v>2126</v>
      </c>
      <c r="B160" s="1475" t="s">
        <v>1376</v>
      </c>
      <c r="C160" s="1479" t="s">
        <v>35</v>
      </c>
      <c r="D160" s="1471" t="s">
        <v>30</v>
      </c>
    </row>
    <row r="161" spans="1:4" ht="14.25" customHeight="1">
      <c r="A161" s="941" t="s">
        <v>2126</v>
      </c>
      <c r="B161" s="1475" t="s">
        <v>2301</v>
      </c>
      <c r="C161" s="1477" t="s">
        <v>35</v>
      </c>
      <c r="D161" s="1471" t="s">
        <v>30</v>
      </c>
    </row>
    <row r="162" spans="1:4" ht="14.25" customHeight="1">
      <c r="A162" s="941" t="s">
        <v>2126</v>
      </c>
      <c r="B162" s="1475" t="s">
        <v>2302</v>
      </c>
      <c r="C162" s="1477" t="s">
        <v>35</v>
      </c>
      <c r="D162" s="1471" t="s">
        <v>30</v>
      </c>
    </row>
    <row r="163" spans="1:4" ht="14.25" customHeight="1">
      <c r="A163" s="941" t="s">
        <v>2126</v>
      </c>
      <c r="B163" s="1475" t="s">
        <v>2303</v>
      </c>
      <c r="C163" s="1477" t="s">
        <v>35</v>
      </c>
      <c r="D163" s="1471" t="s">
        <v>30</v>
      </c>
    </row>
    <row r="164" spans="1:4" ht="14.25" customHeight="1">
      <c r="A164" s="941" t="s">
        <v>2126</v>
      </c>
      <c r="B164" s="1475" t="s">
        <v>2325</v>
      </c>
      <c r="C164" s="1477" t="s">
        <v>35</v>
      </c>
      <c r="D164" s="1471" t="s">
        <v>30</v>
      </c>
    </row>
    <row r="165" spans="1:4" ht="14.25" customHeight="1">
      <c r="A165" s="941" t="s">
        <v>2126</v>
      </c>
      <c r="B165" s="1475" t="s">
        <v>1543</v>
      </c>
      <c r="C165" s="1479" t="s">
        <v>35</v>
      </c>
      <c r="D165" s="1471" t="s">
        <v>30</v>
      </c>
    </row>
    <row r="166" spans="1:4" ht="14.25" customHeight="1">
      <c r="A166" s="941" t="s">
        <v>2126</v>
      </c>
      <c r="B166" s="1475" t="s">
        <v>1378</v>
      </c>
      <c r="C166" s="1479" t="s">
        <v>35</v>
      </c>
      <c r="D166" s="1471" t="s">
        <v>30</v>
      </c>
    </row>
    <row r="167" spans="1:4" ht="14.25" customHeight="1">
      <c r="A167" s="941" t="s">
        <v>2126</v>
      </c>
      <c r="B167" s="1475" t="s">
        <v>2304</v>
      </c>
      <c r="C167" s="1477" t="s">
        <v>35</v>
      </c>
      <c r="D167" s="1471" t="s">
        <v>30</v>
      </c>
    </row>
    <row r="168" spans="1:4" ht="14.25" customHeight="1">
      <c r="A168" s="941" t="s">
        <v>2126</v>
      </c>
      <c r="B168" s="1475" t="s">
        <v>2338</v>
      </c>
      <c r="C168" s="1477" t="s">
        <v>35</v>
      </c>
      <c r="D168" s="1471" t="s">
        <v>30</v>
      </c>
    </row>
    <row r="169" spans="1:4" ht="14.25" customHeight="1">
      <c r="A169" s="941" t="s">
        <v>2126</v>
      </c>
      <c r="B169" s="1475" t="s">
        <v>2326</v>
      </c>
      <c r="C169" s="1477" t="s">
        <v>35</v>
      </c>
      <c r="D169" s="1471" t="s">
        <v>30</v>
      </c>
    </row>
    <row r="170" spans="1:4" ht="14.25" customHeight="1">
      <c r="A170" s="941" t="s">
        <v>2126</v>
      </c>
      <c r="B170" s="1475" t="s">
        <v>2327</v>
      </c>
      <c r="C170" s="1477" t="s">
        <v>35</v>
      </c>
      <c r="D170" s="1471" t="s">
        <v>30</v>
      </c>
    </row>
    <row r="171" spans="1:4" ht="14.25" customHeight="1">
      <c r="A171" s="941" t="s">
        <v>2126</v>
      </c>
      <c r="B171" s="1475" t="s">
        <v>1006</v>
      </c>
      <c r="C171" s="1479" t="s">
        <v>35</v>
      </c>
      <c r="D171" s="1471" t="s">
        <v>30</v>
      </c>
    </row>
    <row r="172" spans="1:4" ht="14.25" customHeight="1">
      <c r="A172" s="941" t="s">
        <v>2126</v>
      </c>
      <c r="B172" s="1475" t="s">
        <v>1383</v>
      </c>
      <c r="C172" s="1479" t="s">
        <v>35</v>
      </c>
      <c r="D172" s="1471" t="s">
        <v>30</v>
      </c>
    </row>
    <row r="173" spans="1:4" ht="14.25" customHeight="1">
      <c r="A173" s="941" t="s">
        <v>2126</v>
      </c>
      <c r="B173" s="1475" t="s">
        <v>1011</v>
      </c>
      <c r="C173" s="1477" t="s">
        <v>35</v>
      </c>
      <c r="D173" s="1471" t="s">
        <v>30</v>
      </c>
    </row>
    <row r="174" spans="1:4" ht="14.25" customHeight="1">
      <c r="A174" s="941" t="s">
        <v>2126</v>
      </c>
      <c r="B174" s="1475" t="s">
        <v>1389</v>
      </c>
      <c r="C174" s="1479" t="s">
        <v>35</v>
      </c>
      <c r="D174" s="1471" t="s">
        <v>30</v>
      </c>
    </row>
    <row r="175" spans="1:4" ht="14.25" customHeight="1">
      <c r="A175" s="941" t="s">
        <v>2126</v>
      </c>
      <c r="B175" s="1475" t="s">
        <v>2305</v>
      </c>
      <c r="C175" s="1477" t="s">
        <v>35</v>
      </c>
      <c r="D175" s="1471" t="s">
        <v>30</v>
      </c>
    </row>
    <row r="176" spans="1:4" ht="14.25" customHeight="1">
      <c r="A176" s="941" t="s">
        <v>2126</v>
      </c>
      <c r="B176" s="1475" t="s">
        <v>2329</v>
      </c>
      <c r="C176" s="1477" t="s">
        <v>35</v>
      </c>
      <c r="D176" s="1471" t="s">
        <v>30</v>
      </c>
    </row>
    <row r="177" spans="1:4" ht="14.25" customHeight="1">
      <c r="A177" s="941" t="s">
        <v>2126</v>
      </c>
      <c r="B177" s="1475" t="s">
        <v>2328</v>
      </c>
      <c r="C177" s="1477" t="s">
        <v>35</v>
      </c>
      <c r="D177" s="1471" t="s">
        <v>30</v>
      </c>
    </row>
    <row r="178" spans="1:4" ht="14.25" customHeight="1">
      <c r="A178" s="941" t="s">
        <v>2126</v>
      </c>
      <c r="B178" s="1475" t="s">
        <v>2306</v>
      </c>
      <c r="C178" s="1477" t="s">
        <v>35</v>
      </c>
      <c r="D178" s="1471" t="s">
        <v>30</v>
      </c>
    </row>
    <row r="179" spans="1:4" ht="14.25" customHeight="1">
      <c r="A179" s="941" t="s">
        <v>2126</v>
      </c>
      <c r="B179" s="1475" t="s">
        <v>1392</v>
      </c>
      <c r="C179" s="1479" t="s">
        <v>35</v>
      </c>
      <c r="D179" s="1471" t="s">
        <v>30</v>
      </c>
    </row>
    <row r="180" spans="1:4" ht="14.25" customHeight="1">
      <c r="A180" s="941" t="s">
        <v>2126</v>
      </c>
      <c r="B180" s="1475" t="s">
        <v>1394</v>
      </c>
      <c r="C180" s="1479" t="s">
        <v>35</v>
      </c>
      <c r="D180" s="1471" t="s">
        <v>30</v>
      </c>
    </row>
    <row r="181" spans="1:4" ht="14.25" customHeight="1">
      <c r="A181" s="941" t="s">
        <v>2126</v>
      </c>
      <c r="B181" s="1475" t="s">
        <v>2307</v>
      </c>
      <c r="C181" s="1477" t="s">
        <v>35</v>
      </c>
      <c r="D181" s="1471" t="s">
        <v>30</v>
      </c>
    </row>
    <row r="182" spans="1:4" ht="14.25" customHeight="1">
      <c r="A182" s="941" t="s">
        <v>2126</v>
      </c>
      <c r="B182" s="1475" t="s">
        <v>2341</v>
      </c>
      <c r="C182" s="1477" t="s">
        <v>35</v>
      </c>
      <c r="D182" s="1471" t="s">
        <v>30</v>
      </c>
    </row>
    <row r="183" spans="1:4" ht="14.25" customHeight="1">
      <c r="A183" s="941" t="s">
        <v>2126</v>
      </c>
      <c r="B183" s="1475" t="s">
        <v>2308</v>
      </c>
      <c r="C183" s="1477" t="s">
        <v>35</v>
      </c>
      <c r="D183" s="1471" t="s">
        <v>30</v>
      </c>
    </row>
    <row r="184" spans="1:4" ht="14.25" customHeight="1">
      <c r="A184" s="941" t="s">
        <v>2126</v>
      </c>
      <c r="B184" s="1475" t="s">
        <v>2330</v>
      </c>
      <c r="C184" s="1477" t="s">
        <v>35</v>
      </c>
      <c r="D184" s="1471" t="s">
        <v>30</v>
      </c>
    </row>
    <row r="185" spans="1:4" ht="14.25" customHeight="1">
      <c r="A185" s="941" t="s">
        <v>2126</v>
      </c>
      <c r="B185" s="1475" t="s">
        <v>1398</v>
      </c>
      <c r="C185" s="1477" t="s">
        <v>35</v>
      </c>
      <c r="D185" s="1471" t="s">
        <v>30</v>
      </c>
    </row>
    <row r="186" spans="1:4" ht="14.25" customHeight="1">
      <c r="A186" s="941" t="s">
        <v>2126</v>
      </c>
      <c r="B186" s="1475" t="s">
        <v>2309</v>
      </c>
      <c r="C186" s="1477" t="s">
        <v>35</v>
      </c>
      <c r="D186" s="1471" t="s">
        <v>30</v>
      </c>
    </row>
    <row r="187" spans="1:4" ht="14.25" customHeight="1">
      <c r="A187" s="941" t="s">
        <v>2126</v>
      </c>
      <c r="B187" s="1475" t="s">
        <v>2332</v>
      </c>
      <c r="C187" s="1477" t="s">
        <v>35</v>
      </c>
      <c r="D187" s="1471" t="s">
        <v>30</v>
      </c>
    </row>
    <row r="188" spans="1:4" ht="14.25" customHeight="1">
      <c r="A188" s="941" t="s">
        <v>2126</v>
      </c>
      <c r="B188" s="1475" t="s">
        <v>2331</v>
      </c>
      <c r="C188" s="1477" t="s">
        <v>35</v>
      </c>
      <c r="D188" s="1471" t="s">
        <v>30</v>
      </c>
    </row>
    <row r="189" spans="1:4" ht="14.25" customHeight="1">
      <c r="A189" s="941" t="s">
        <v>2126</v>
      </c>
      <c r="B189" s="1475" t="s">
        <v>1403</v>
      </c>
      <c r="C189" s="1479" t="s">
        <v>35</v>
      </c>
      <c r="D189" s="1471" t="s">
        <v>30</v>
      </c>
    </row>
    <row r="190" spans="1:4" ht="14.25" customHeight="1">
      <c r="A190" s="941" t="s">
        <v>2126</v>
      </c>
      <c r="B190" s="1475" t="s">
        <v>1545</v>
      </c>
      <c r="C190" s="1477" t="s">
        <v>35</v>
      </c>
      <c r="D190" s="1471" t="s">
        <v>30</v>
      </c>
    </row>
    <row r="191" spans="1:4" ht="14.25" customHeight="1">
      <c r="A191" s="941" t="s">
        <v>2126</v>
      </c>
      <c r="B191" s="1475" t="s">
        <v>2310</v>
      </c>
      <c r="C191" s="1477" t="s">
        <v>35</v>
      </c>
      <c r="D191" s="1471" t="s">
        <v>30</v>
      </c>
    </row>
    <row r="192" spans="1:4" ht="14.25" customHeight="1">
      <c r="A192" s="941" t="s">
        <v>2126</v>
      </c>
      <c r="B192" s="1475" t="s">
        <v>1547</v>
      </c>
      <c r="C192" s="1477" t="s">
        <v>35</v>
      </c>
      <c r="D192" s="1471" t="s">
        <v>30</v>
      </c>
    </row>
    <row r="193" spans="1:4" ht="14.25" customHeight="1">
      <c r="A193" s="941" t="s">
        <v>2126</v>
      </c>
      <c r="B193" s="1478" t="s">
        <v>2311</v>
      </c>
      <c r="C193" s="1472" t="s">
        <v>35</v>
      </c>
      <c r="D193" s="1471" t="s">
        <v>30</v>
      </c>
    </row>
    <row r="194" spans="1:4" ht="14.25" customHeight="1">
      <c r="A194" s="941" t="s">
        <v>2126</v>
      </c>
      <c r="B194" s="1475" t="s">
        <v>2333</v>
      </c>
      <c r="C194" s="1477" t="s">
        <v>35</v>
      </c>
      <c r="D194" s="1471" t="s">
        <v>30</v>
      </c>
    </row>
    <row r="195" spans="1:4" ht="14.25" customHeight="1">
      <c r="A195" s="941" t="s">
        <v>2126</v>
      </c>
      <c r="B195" s="1475" t="s">
        <v>2334</v>
      </c>
      <c r="C195" s="1477" t="s">
        <v>35</v>
      </c>
      <c r="D195" s="1471" t="s">
        <v>30</v>
      </c>
    </row>
    <row r="196" spans="1:4" ht="14.25" customHeight="1">
      <c r="A196" s="941" t="s">
        <v>2126</v>
      </c>
      <c r="B196" s="1475" t="s">
        <v>2312</v>
      </c>
      <c r="C196" s="1477" t="s">
        <v>35</v>
      </c>
      <c r="D196" s="1471" t="s">
        <v>30</v>
      </c>
    </row>
    <row r="197" spans="1:4" ht="14.25" customHeight="1">
      <c r="A197" s="941" t="s">
        <v>2126</v>
      </c>
      <c r="B197" s="1475" t="s">
        <v>2335</v>
      </c>
      <c r="C197" s="1477" t="s">
        <v>35</v>
      </c>
      <c r="D197" s="1471" t="s">
        <v>30</v>
      </c>
    </row>
    <row r="198" spans="1:4" ht="14.25" customHeight="1">
      <c r="A198" s="941" t="s">
        <v>2126</v>
      </c>
      <c r="B198" s="1475" t="s">
        <v>2715</v>
      </c>
      <c r="C198" s="1479" t="s">
        <v>35</v>
      </c>
      <c r="D198" s="1471" t="s">
        <v>30</v>
      </c>
    </row>
    <row r="199" spans="1:4" ht="14.25" customHeight="1">
      <c r="A199" s="941" t="s">
        <v>2126</v>
      </c>
      <c r="B199" s="1475" t="s">
        <v>1408</v>
      </c>
      <c r="C199" s="1477" t="s">
        <v>35</v>
      </c>
      <c r="D199" s="1471" t="s">
        <v>30</v>
      </c>
    </row>
    <row r="200" spans="1:4" ht="14.25" customHeight="1">
      <c r="A200" s="941" t="s">
        <v>2126</v>
      </c>
      <c r="B200" s="1475" t="s">
        <v>1410</v>
      </c>
      <c r="C200" s="1479" t="s">
        <v>35</v>
      </c>
      <c r="D200" s="1471" t="s">
        <v>30</v>
      </c>
    </row>
    <row r="201" spans="1:4" ht="14.25" customHeight="1">
      <c r="A201" s="941" t="s">
        <v>2126</v>
      </c>
      <c r="B201" s="1475" t="s">
        <v>2313</v>
      </c>
      <c r="C201" s="1477" t="s">
        <v>35</v>
      </c>
      <c r="D201" s="1471" t="s">
        <v>30</v>
      </c>
    </row>
    <row r="202" spans="1:4" ht="14.25" customHeight="1">
      <c r="A202" s="941" t="s">
        <v>2126</v>
      </c>
      <c r="B202" s="1475" t="s">
        <v>2314</v>
      </c>
      <c r="C202" s="1477" t="s">
        <v>35</v>
      </c>
      <c r="D202" s="1471" t="s">
        <v>30</v>
      </c>
    </row>
    <row r="203" spans="1:4" ht="14.25" customHeight="1">
      <c r="A203" s="941" t="s">
        <v>2126</v>
      </c>
      <c r="B203" s="1475" t="s">
        <v>2315</v>
      </c>
      <c r="C203" s="1477" t="s">
        <v>35</v>
      </c>
      <c r="D203" s="1471" t="s">
        <v>30</v>
      </c>
    </row>
    <row r="204" spans="1:4" ht="14.25" customHeight="1">
      <c r="A204" s="941" t="s">
        <v>2126</v>
      </c>
      <c r="B204" s="1475" t="s">
        <v>2336</v>
      </c>
      <c r="C204" s="1477" t="s">
        <v>35</v>
      </c>
      <c r="D204" s="1471" t="s">
        <v>30</v>
      </c>
    </row>
    <row r="205" spans="1:4" ht="14.25" customHeight="1">
      <c r="A205" s="941" t="s">
        <v>2126</v>
      </c>
      <c r="B205" s="1475" t="s">
        <v>1549</v>
      </c>
      <c r="C205" s="1477" t="s">
        <v>35</v>
      </c>
      <c r="D205" s="1471" t="s">
        <v>30</v>
      </c>
    </row>
    <row r="206" spans="1:4" ht="14.25" customHeight="1">
      <c r="A206" s="941" t="s">
        <v>2126</v>
      </c>
      <c r="B206" s="1475" t="s">
        <v>2337</v>
      </c>
      <c r="C206" s="1477" t="s">
        <v>35</v>
      </c>
      <c r="D206" s="1471" t="s">
        <v>30</v>
      </c>
    </row>
    <row r="207" spans="1:4" ht="14.25" customHeight="1">
      <c r="A207" s="941" t="s">
        <v>2126</v>
      </c>
      <c r="B207" s="1480" t="s">
        <v>2790</v>
      </c>
      <c r="C207" s="1472" t="s">
        <v>35</v>
      </c>
      <c r="D207" s="1471" t="s">
        <v>30</v>
      </c>
    </row>
    <row r="208" spans="1:4" ht="14.25" customHeight="1">
      <c r="A208" s="941" t="s">
        <v>2126</v>
      </c>
      <c r="B208" s="1480" t="s">
        <v>2792</v>
      </c>
      <c r="C208" s="1472" t="s">
        <v>35</v>
      </c>
      <c r="D208" s="1471" t="s">
        <v>30</v>
      </c>
    </row>
    <row r="209" spans="1:4" ht="14.25" customHeight="1">
      <c r="A209" s="941" t="s">
        <v>2126</v>
      </c>
      <c r="B209" s="1481" t="s">
        <v>3068</v>
      </c>
      <c r="C209" s="1472" t="s">
        <v>35</v>
      </c>
      <c r="D209" s="1471" t="s">
        <v>30</v>
      </c>
    </row>
    <row r="210" spans="1:4" ht="14.25" customHeight="1">
      <c r="A210" s="941" t="s">
        <v>2126</v>
      </c>
      <c r="B210" s="1481" t="s">
        <v>3067</v>
      </c>
      <c r="C210" s="1472" t="s">
        <v>35</v>
      </c>
      <c r="D210" s="1471" t="s">
        <v>30</v>
      </c>
    </row>
    <row r="211" spans="1:4" ht="14.25" customHeight="1">
      <c r="A211" s="941" t="s">
        <v>2126</v>
      </c>
      <c r="B211" s="1480" t="s">
        <v>2791</v>
      </c>
      <c r="C211" s="1472" t="s">
        <v>35</v>
      </c>
      <c r="D211" s="1471" t="s">
        <v>30</v>
      </c>
    </row>
    <row r="212" spans="1:4" ht="14.25" customHeight="1">
      <c r="A212" s="941" t="s">
        <v>2126</v>
      </c>
      <c r="B212" s="1480" t="s">
        <v>1552</v>
      </c>
      <c r="C212" s="1472" t="s">
        <v>296</v>
      </c>
      <c r="D212" s="1471" t="s">
        <v>30</v>
      </c>
    </row>
    <row r="213" spans="1:4" ht="14.45" customHeight="1">
      <c r="A213" s="941" t="s">
        <v>2126</v>
      </c>
      <c r="B213" s="1470" t="s">
        <v>2259</v>
      </c>
      <c r="C213" s="1471" t="s">
        <v>2261</v>
      </c>
      <c r="D213" s="1471" t="s">
        <v>30</v>
      </c>
    </row>
    <row r="214" spans="1:4" ht="14.25" customHeight="1">
      <c r="A214" s="941" t="s">
        <v>2126</v>
      </c>
      <c r="B214" s="1482" t="s">
        <v>1554</v>
      </c>
      <c r="C214" s="1483" t="s">
        <v>1556</v>
      </c>
      <c r="D214" s="1471" t="s">
        <v>30</v>
      </c>
    </row>
    <row r="215" spans="1:4" ht="14.25" customHeight="1">
      <c r="A215" s="941" t="s">
        <v>2126</v>
      </c>
      <c r="B215" s="1484" t="s">
        <v>2922</v>
      </c>
      <c r="C215" s="1479" t="s">
        <v>742</v>
      </c>
      <c r="D215" s="1471" t="s">
        <v>30</v>
      </c>
    </row>
    <row r="216" spans="1:4" ht="14.25" customHeight="1">
      <c r="A216" s="941" t="s">
        <v>2126</v>
      </c>
      <c r="B216" s="1485" t="s">
        <v>1095</v>
      </c>
      <c r="C216" s="1477" t="s">
        <v>221</v>
      </c>
      <c r="D216" s="1471" t="s">
        <v>30</v>
      </c>
    </row>
    <row r="217" spans="1:4" ht="14.25" customHeight="1">
      <c r="A217" s="941" t="s">
        <v>2126</v>
      </c>
      <c r="B217" s="1470" t="s">
        <v>2572</v>
      </c>
      <c r="C217" s="1471" t="s">
        <v>221</v>
      </c>
      <c r="D217" s="1471" t="s">
        <v>30</v>
      </c>
    </row>
    <row r="218" spans="1:4" ht="14.25" customHeight="1">
      <c r="A218" s="941" t="s">
        <v>2126</v>
      </c>
      <c r="B218" s="1475" t="s">
        <v>2596</v>
      </c>
      <c r="C218" s="1477" t="s">
        <v>222</v>
      </c>
      <c r="D218" s="1471" t="s">
        <v>30</v>
      </c>
    </row>
    <row r="219" spans="1:4" ht="14.25" customHeight="1">
      <c r="A219" s="941" t="s">
        <v>2126</v>
      </c>
      <c r="B219" s="1484" t="s">
        <v>1051</v>
      </c>
      <c r="C219" s="1477" t="s">
        <v>1053</v>
      </c>
      <c r="D219" s="1471" t="s">
        <v>30</v>
      </c>
    </row>
    <row r="220" spans="1:4" ht="14.25" customHeight="1">
      <c r="A220" s="941" t="s">
        <v>2126</v>
      </c>
      <c r="B220" s="1470" t="s">
        <v>1060</v>
      </c>
      <c r="C220" s="1471" t="s">
        <v>222</v>
      </c>
      <c r="D220" s="1471" t="s">
        <v>30</v>
      </c>
    </row>
    <row r="221" spans="1:4" ht="14.25" customHeight="1">
      <c r="A221" s="942" t="s">
        <v>2126</v>
      </c>
      <c r="B221" s="942" t="s">
        <v>2962</v>
      </c>
      <c r="C221" s="943" t="s">
        <v>222</v>
      </c>
      <c r="D221" s="944" t="s">
        <v>30</v>
      </c>
    </row>
    <row r="222" spans="1:4" ht="14.25" customHeight="1">
      <c r="A222" s="941" t="s">
        <v>2126</v>
      </c>
      <c r="B222" s="1475" t="s">
        <v>2272</v>
      </c>
      <c r="C222" s="1477" t="s">
        <v>222</v>
      </c>
      <c r="D222" s="1471" t="s">
        <v>30</v>
      </c>
    </row>
    <row r="223" spans="1:4" ht="14.25" customHeight="1">
      <c r="A223" s="941" t="s">
        <v>2126</v>
      </c>
      <c r="B223" s="1470" t="s">
        <v>2555</v>
      </c>
      <c r="C223" s="1471" t="s">
        <v>222</v>
      </c>
      <c r="D223" s="1471" t="s">
        <v>30</v>
      </c>
    </row>
    <row r="224" spans="1:4" ht="14.25" customHeight="1">
      <c r="A224" s="941" t="s">
        <v>2126</v>
      </c>
      <c r="B224" s="1478" t="s">
        <v>1075</v>
      </c>
      <c r="C224" s="1472" t="s">
        <v>416</v>
      </c>
      <c r="D224" s="1471" t="s">
        <v>30</v>
      </c>
    </row>
    <row r="225" spans="1:4" ht="14.25" customHeight="1">
      <c r="A225" s="941" t="s">
        <v>2126</v>
      </c>
      <c r="B225" s="1475" t="s">
        <v>1081</v>
      </c>
      <c r="C225" s="1477" t="s">
        <v>416</v>
      </c>
      <c r="D225" s="1471" t="s">
        <v>30</v>
      </c>
    </row>
    <row r="226" spans="1:4" ht="14.25" customHeight="1">
      <c r="A226" s="941" t="s">
        <v>2126</v>
      </c>
      <c r="B226" s="1475" t="s">
        <v>1091</v>
      </c>
      <c r="C226" s="1477" t="s">
        <v>416</v>
      </c>
      <c r="D226" s="1471" t="s">
        <v>30</v>
      </c>
    </row>
    <row r="227" spans="1:4" ht="14.25" customHeight="1">
      <c r="A227" s="941" t="s">
        <v>2126</v>
      </c>
      <c r="B227" s="1484" t="s">
        <v>2454</v>
      </c>
      <c r="C227" s="1479" t="s">
        <v>221</v>
      </c>
      <c r="D227" s="1471" t="s">
        <v>30</v>
      </c>
    </row>
    <row r="228" spans="1:4" ht="14.25" customHeight="1">
      <c r="A228" s="941" t="s">
        <v>2126</v>
      </c>
      <c r="B228" s="1470" t="s">
        <v>2711</v>
      </c>
      <c r="C228" s="1471" t="s">
        <v>422</v>
      </c>
      <c r="D228" s="1471" t="s">
        <v>30</v>
      </c>
    </row>
    <row r="229" spans="1:4" ht="14.25" customHeight="1">
      <c r="A229" s="941" t="s">
        <v>2126</v>
      </c>
      <c r="B229" s="1484" t="s">
        <v>2910</v>
      </c>
      <c r="C229" s="1479" t="s">
        <v>818</v>
      </c>
      <c r="D229" s="1471" t="s">
        <v>30</v>
      </c>
    </row>
    <row r="230" spans="1:4" ht="14.25" customHeight="1">
      <c r="A230" s="941" t="s">
        <v>2126</v>
      </c>
      <c r="B230" s="1478" t="s">
        <v>2841</v>
      </c>
      <c r="C230" s="1474" t="s">
        <v>314</v>
      </c>
      <c r="D230" s="1471" t="s">
        <v>30</v>
      </c>
    </row>
    <row r="231" spans="1:4" ht="14.25" customHeight="1">
      <c r="A231" s="941" t="s">
        <v>2126</v>
      </c>
      <c r="B231" s="1484" t="s">
        <v>1103</v>
      </c>
      <c r="C231" s="1479" t="s">
        <v>225</v>
      </c>
      <c r="D231" s="1471" t="s">
        <v>30</v>
      </c>
    </row>
    <row r="232" spans="1:4" ht="14.25" customHeight="1">
      <c r="A232" s="941" t="s">
        <v>2126</v>
      </c>
      <c r="B232" s="1475" t="s">
        <v>1109</v>
      </c>
      <c r="C232" s="1477" t="s">
        <v>357</v>
      </c>
      <c r="D232" s="1471" t="s">
        <v>30</v>
      </c>
    </row>
    <row r="233" spans="1:4" ht="14.25" customHeight="1">
      <c r="A233" s="941" t="s">
        <v>2126</v>
      </c>
      <c r="B233" s="1473" t="s">
        <v>1117</v>
      </c>
      <c r="C233" s="1474" t="s">
        <v>357</v>
      </c>
      <c r="D233" s="1471" t="s">
        <v>30</v>
      </c>
    </row>
    <row r="234" spans="1:4" ht="14.25" customHeight="1">
      <c r="A234" s="941" t="s">
        <v>2126</v>
      </c>
      <c r="B234" s="1473" t="s">
        <v>1122</v>
      </c>
      <c r="C234" s="1474" t="s">
        <v>357</v>
      </c>
      <c r="D234" s="1471" t="s">
        <v>30</v>
      </c>
    </row>
    <row r="235" spans="1:4" ht="14.25" customHeight="1">
      <c r="A235" s="941" t="s">
        <v>2126</v>
      </c>
      <c r="B235" s="1473" t="s">
        <v>1127</v>
      </c>
      <c r="C235" s="1474" t="s">
        <v>357</v>
      </c>
      <c r="D235" s="1471" t="s">
        <v>30</v>
      </c>
    </row>
    <row r="236" spans="1:4" ht="14.25" customHeight="1">
      <c r="A236" s="941" t="s">
        <v>2126</v>
      </c>
      <c r="B236" s="1473" t="s">
        <v>1130</v>
      </c>
      <c r="C236" s="1474" t="s">
        <v>357</v>
      </c>
      <c r="D236" s="1471" t="s">
        <v>30</v>
      </c>
    </row>
    <row r="237" spans="1:4" ht="14.25" customHeight="1">
      <c r="A237" s="941" t="s">
        <v>2126</v>
      </c>
      <c r="B237" s="1475" t="s">
        <v>1134</v>
      </c>
      <c r="C237" s="1477" t="s">
        <v>357</v>
      </c>
      <c r="D237" s="1471" t="s">
        <v>30</v>
      </c>
    </row>
    <row r="238" spans="1:4" ht="14.25" customHeight="1">
      <c r="A238" s="941" t="s">
        <v>2126</v>
      </c>
      <c r="B238" s="1473" t="s">
        <v>1138</v>
      </c>
      <c r="C238" s="1474" t="s">
        <v>357</v>
      </c>
      <c r="D238" s="1471" t="s">
        <v>30</v>
      </c>
    </row>
    <row r="239" spans="1:4" ht="14.25" customHeight="1">
      <c r="A239" s="941" t="s">
        <v>2126</v>
      </c>
      <c r="B239" s="1473" t="s">
        <v>1142</v>
      </c>
      <c r="C239" s="1474" t="s">
        <v>357</v>
      </c>
      <c r="D239" s="1471" t="s">
        <v>30</v>
      </c>
    </row>
    <row r="240" spans="1:4" ht="14.25" customHeight="1">
      <c r="A240" s="1035" t="s">
        <v>2126</v>
      </c>
      <c r="B240" s="1470" t="s">
        <v>3078</v>
      </c>
      <c r="C240" s="1036" t="s">
        <v>763</v>
      </c>
      <c r="D240" s="1037" t="s">
        <v>30</v>
      </c>
    </row>
    <row r="241" spans="1:4" ht="14.25" customHeight="1">
      <c r="A241" s="941" t="s">
        <v>2126</v>
      </c>
      <c r="B241" s="1478" t="s">
        <v>2901</v>
      </c>
      <c r="C241" s="1472" t="s">
        <v>763</v>
      </c>
      <c r="D241" s="1471" t="s">
        <v>30</v>
      </c>
    </row>
    <row r="242" spans="1:4" ht="14.25" customHeight="1">
      <c r="A242" s="941" t="s">
        <v>2126</v>
      </c>
      <c r="B242" s="1470" t="s">
        <v>1501</v>
      </c>
      <c r="C242" s="1483" t="s">
        <v>1503</v>
      </c>
      <c r="D242" s="1471" t="s">
        <v>30</v>
      </c>
    </row>
    <row r="243" spans="1:4" ht="14.25" customHeight="1">
      <c r="A243" s="941" t="s">
        <v>2126</v>
      </c>
      <c r="B243" s="1470" t="s">
        <v>2208</v>
      </c>
      <c r="C243" s="1483" t="s">
        <v>528</v>
      </c>
      <c r="D243" s="1471" t="s">
        <v>30</v>
      </c>
    </row>
    <row r="244" spans="1:4" ht="14.25" customHeight="1">
      <c r="A244" s="941" t="s">
        <v>2126</v>
      </c>
      <c r="B244" s="1473" t="s">
        <v>1156</v>
      </c>
      <c r="C244" s="1474" t="s">
        <v>528</v>
      </c>
      <c r="D244" s="1471" t="s">
        <v>30</v>
      </c>
    </row>
    <row r="245" spans="1:4" ht="14.25" customHeight="1">
      <c r="A245" s="941" t="s">
        <v>2126</v>
      </c>
      <c r="B245" s="1473" t="s">
        <v>1160</v>
      </c>
      <c r="C245" s="1474" t="s">
        <v>528</v>
      </c>
      <c r="D245" s="1471" t="s">
        <v>30</v>
      </c>
    </row>
    <row r="246" spans="1:4" ht="14.25" customHeight="1">
      <c r="A246" s="941" t="s">
        <v>2126</v>
      </c>
      <c r="B246" s="1473" t="s">
        <v>1162</v>
      </c>
      <c r="C246" s="1474" t="s">
        <v>528</v>
      </c>
      <c r="D246" s="1471" t="s">
        <v>30</v>
      </c>
    </row>
    <row r="247" spans="1:4" ht="14.25" customHeight="1">
      <c r="A247" s="941" t="s">
        <v>2126</v>
      </c>
      <c r="B247" s="1473" t="s">
        <v>1165</v>
      </c>
      <c r="C247" s="1474" t="s">
        <v>528</v>
      </c>
      <c r="D247" s="1471" t="s">
        <v>30</v>
      </c>
    </row>
    <row r="248" spans="1:4" ht="14.25" customHeight="1">
      <c r="A248" s="941" t="s">
        <v>2126</v>
      </c>
      <c r="B248" s="1473" t="s">
        <v>1166</v>
      </c>
      <c r="C248" s="1474" t="s">
        <v>528</v>
      </c>
      <c r="D248" s="1471" t="s">
        <v>30</v>
      </c>
    </row>
    <row r="249" spans="1:4" ht="14.25" customHeight="1">
      <c r="A249" s="941" t="s">
        <v>2126</v>
      </c>
      <c r="B249" s="1470" t="s">
        <v>2207</v>
      </c>
      <c r="C249" s="1483" t="s">
        <v>528</v>
      </c>
      <c r="D249" s="1471" t="s">
        <v>30</v>
      </c>
    </row>
    <row r="250" spans="1:4" ht="14.25" customHeight="1">
      <c r="A250" s="941" t="s">
        <v>2126</v>
      </c>
      <c r="B250" s="1470" t="s">
        <v>2209</v>
      </c>
      <c r="C250" s="1483" t="s">
        <v>528</v>
      </c>
      <c r="D250" s="1471" t="s">
        <v>30</v>
      </c>
    </row>
    <row r="251" spans="1:4" ht="14.25" customHeight="1">
      <c r="A251" s="941" t="s">
        <v>2126</v>
      </c>
      <c r="B251" s="1470" t="s">
        <v>1510</v>
      </c>
      <c r="C251" s="1471" t="s">
        <v>1508</v>
      </c>
      <c r="D251" s="1471" t="s">
        <v>30</v>
      </c>
    </row>
    <row r="252" spans="1:4" ht="14.25" customHeight="1">
      <c r="A252" s="941" t="s">
        <v>2126</v>
      </c>
      <c r="B252" s="1478" t="s">
        <v>2254</v>
      </c>
      <c r="C252" s="1472" t="s">
        <v>528</v>
      </c>
      <c r="D252" s="1471" t="s">
        <v>30</v>
      </c>
    </row>
    <row r="253" spans="1:4" ht="14.25" customHeight="1">
      <c r="A253" s="941" t="s">
        <v>2126</v>
      </c>
      <c r="B253" s="1475" t="s">
        <v>1168</v>
      </c>
      <c r="C253" s="1477" t="s">
        <v>199</v>
      </c>
      <c r="D253" s="1471" t="s">
        <v>30</v>
      </c>
    </row>
    <row r="254" spans="1:4" ht="15.75" customHeight="1">
      <c r="A254" s="941" t="s">
        <v>2126</v>
      </c>
      <c r="B254" s="1482" t="s">
        <v>1176</v>
      </c>
      <c r="C254" s="1483" t="s">
        <v>199</v>
      </c>
      <c r="D254" s="1471" t="s">
        <v>30</v>
      </c>
    </row>
    <row r="255" spans="1:4" ht="14.25" customHeight="1">
      <c r="A255" s="941" t="s">
        <v>2126</v>
      </c>
      <c r="B255" s="1484" t="s">
        <v>1184</v>
      </c>
      <c r="C255" s="1479" t="s">
        <v>1186</v>
      </c>
      <c r="D255" s="1471" t="s">
        <v>30</v>
      </c>
    </row>
    <row r="256" spans="1:4" ht="14.25" customHeight="1">
      <c r="A256" s="941" t="s">
        <v>2126</v>
      </c>
      <c r="B256" s="1470" t="s">
        <v>2380</v>
      </c>
      <c r="C256" s="1471" t="s">
        <v>1186</v>
      </c>
      <c r="D256" s="1471" t="s">
        <v>30</v>
      </c>
    </row>
    <row r="257" spans="1:4" ht="14.25" customHeight="1">
      <c r="A257" s="941" t="s">
        <v>2126</v>
      </c>
      <c r="B257" s="1470" t="s">
        <v>2564</v>
      </c>
      <c r="C257" s="1471" t="s">
        <v>1186</v>
      </c>
      <c r="D257" s="1471" t="s">
        <v>30</v>
      </c>
    </row>
    <row r="258" spans="1:4" ht="14.25" customHeight="1">
      <c r="A258" s="941" t="s">
        <v>2126</v>
      </c>
      <c r="B258" s="1470" t="s">
        <v>1525</v>
      </c>
      <c r="C258" s="1471" t="s">
        <v>1186</v>
      </c>
      <c r="D258" s="1471" t="s">
        <v>30</v>
      </c>
    </row>
    <row r="259" spans="1:4" ht="13.7" customHeight="1">
      <c r="A259" s="941" t="s">
        <v>2126</v>
      </c>
      <c r="B259" s="1484" t="s">
        <v>1191</v>
      </c>
      <c r="C259" s="1477" t="s">
        <v>237</v>
      </c>
      <c r="D259" s="1471" t="s">
        <v>30</v>
      </c>
    </row>
    <row r="260" spans="1:4" ht="13.7" customHeight="1">
      <c r="A260" s="941" t="s">
        <v>2126</v>
      </c>
      <c r="B260" s="1484" t="s">
        <v>1196</v>
      </c>
      <c r="C260" s="1479" t="s">
        <v>237</v>
      </c>
      <c r="D260" s="1471" t="s">
        <v>30</v>
      </c>
    </row>
    <row r="261" spans="1:4" ht="14.25" customHeight="1">
      <c r="A261" s="941" t="s">
        <v>2126</v>
      </c>
      <c r="B261" s="1470" t="s">
        <v>2352</v>
      </c>
      <c r="C261" s="1471" t="s">
        <v>237</v>
      </c>
      <c r="D261" s="1471" t="s">
        <v>30</v>
      </c>
    </row>
    <row r="262" spans="1:4" ht="14.25" customHeight="1">
      <c r="A262" s="941" t="s">
        <v>2126</v>
      </c>
      <c r="B262" s="1470" t="s">
        <v>1204</v>
      </c>
      <c r="C262" s="1471" t="s">
        <v>135</v>
      </c>
      <c r="D262" s="1471" t="s">
        <v>30</v>
      </c>
    </row>
    <row r="263" spans="1:4" ht="14.25" customHeight="1">
      <c r="A263" s="941" t="s">
        <v>2126</v>
      </c>
      <c r="B263" s="1475" t="s">
        <v>1208</v>
      </c>
      <c r="C263" s="1477" t="s">
        <v>1210</v>
      </c>
      <c r="D263" s="1471" t="s">
        <v>30</v>
      </c>
    </row>
    <row r="264" spans="1:4" ht="14.25" customHeight="1">
      <c r="A264" s="941" t="s">
        <v>2126</v>
      </c>
      <c r="B264" s="1475" t="s">
        <v>1220</v>
      </c>
      <c r="C264" s="1477" t="s">
        <v>148</v>
      </c>
      <c r="D264" s="1471" t="s">
        <v>30</v>
      </c>
    </row>
    <row r="265" spans="1:4" ht="14.25" customHeight="1">
      <c r="A265" s="941" t="s">
        <v>2126</v>
      </c>
      <c r="B265" s="1486" t="s">
        <v>2963</v>
      </c>
      <c r="C265" s="1487" t="s">
        <v>155</v>
      </c>
      <c r="D265" s="1487" t="s">
        <v>30</v>
      </c>
    </row>
    <row r="266" spans="1:4" ht="14.25" customHeight="1">
      <c r="A266" s="941" t="s">
        <v>2126</v>
      </c>
      <c r="B266" s="1475" t="s">
        <v>1533</v>
      </c>
      <c r="C266" s="1488" t="s">
        <v>155</v>
      </c>
      <c r="D266" s="1471" t="s">
        <v>30</v>
      </c>
    </row>
    <row r="267" spans="1:4" ht="14.25" customHeight="1">
      <c r="A267" s="941" t="s">
        <v>2126</v>
      </c>
      <c r="B267" s="1484" t="s">
        <v>1230</v>
      </c>
      <c r="C267" s="1479" t="s">
        <v>155</v>
      </c>
      <c r="D267" s="1471" t="s">
        <v>30</v>
      </c>
    </row>
    <row r="268" spans="1:4" ht="14.25" customHeight="1">
      <c r="A268" s="941" t="s">
        <v>2126</v>
      </c>
      <c r="B268" s="1470" t="s">
        <v>1238</v>
      </c>
      <c r="C268" s="1471" t="s">
        <v>155</v>
      </c>
      <c r="D268" s="1471" t="s">
        <v>30</v>
      </c>
    </row>
    <row r="269" spans="1:4" ht="14.25" customHeight="1">
      <c r="A269" s="941" t="s">
        <v>2126</v>
      </c>
      <c r="B269" s="1470" t="s">
        <v>2446</v>
      </c>
      <c r="C269" s="1471" t="s">
        <v>155</v>
      </c>
      <c r="D269" s="1471" t="s">
        <v>30</v>
      </c>
    </row>
    <row r="270" spans="1:4" ht="14.25" customHeight="1">
      <c r="A270" s="941" t="s">
        <v>2126</v>
      </c>
      <c r="B270" s="1475" t="s">
        <v>1245</v>
      </c>
      <c r="C270" s="1477" t="s">
        <v>155</v>
      </c>
      <c r="D270" s="1471" t="s">
        <v>30</v>
      </c>
    </row>
    <row r="271" spans="1:4" ht="14.25" customHeight="1">
      <c r="A271" s="941" t="s">
        <v>2126</v>
      </c>
      <c r="B271" s="1473" t="s">
        <v>1251</v>
      </c>
      <c r="C271" s="1474" t="s">
        <v>155</v>
      </c>
      <c r="D271" s="1471" t="s">
        <v>30</v>
      </c>
    </row>
    <row r="272" spans="1:4" ht="14.25" customHeight="1">
      <c r="A272" s="941" t="s">
        <v>2126</v>
      </c>
      <c r="B272" s="1475" t="s">
        <v>1257</v>
      </c>
      <c r="C272" s="1477" t="s">
        <v>155</v>
      </c>
      <c r="D272" s="1471" t="s">
        <v>30</v>
      </c>
    </row>
    <row r="273" spans="1:4" ht="14.25" customHeight="1">
      <c r="A273" s="941" t="s">
        <v>2126</v>
      </c>
      <c r="B273" s="1475" t="s">
        <v>1263</v>
      </c>
      <c r="C273" s="1477" t="s">
        <v>155</v>
      </c>
      <c r="D273" s="1471" t="s">
        <v>30</v>
      </c>
    </row>
    <row r="274" spans="1:4" ht="14.25" customHeight="1">
      <c r="A274" s="941" t="s">
        <v>2126</v>
      </c>
      <c r="B274" s="1475" t="s">
        <v>1269</v>
      </c>
      <c r="C274" s="1477" t="s">
        <v>155</v>
      </c>
      <c r="D274" s="1471" t="s">
        <v>30</v>
      </c>
    </row>
    <row r="275" spans="1:4" ht="14.25" customHeight="1">
      <c r="A275" s="941" t="s">
        <v>2126</v>
      </c>
      <c r="B275" s="1478" t="s">
        <v>2624</v>
      </c>
      <c r="C275" s="1479" t="s">
        <v>155</v>
      </c>
      <c r="D275" s="1471" t="s">
        <v>30</v>
      </c>
    </row>
    <row r="276" spans="1:4" ht="14.25" customHeight="1">
      <c r="A276" s="941" t="s">
        <v>2126</v>
      </c>
      <c r="B276" s="1478" t="s">
        <v>2807</v>
      </c>
      <c r="C276" s="1489" t="s">
        <v>155</v>
      </c>
      <c r="D276" s="1471" t="s">
        <v>30</v>
      </c>
    </row>
    <row r="277" spans="1:4" ht="14.25" customHeight="1">
      <c r="A277" s="941" t="s">
        <v>2126</v>
      </c>
      <c r="B277" s="1473" t="s">
        <v>1276</v>
      </c>
      <c r="C277" s="1474" t="s">
        <v>155</v>
      </c>
      <c r="D277" s="1471" t="s">
        <v>30</v>
      </c>
    </row>
    <row r="278" spans="1:4" ht="14.25" customHeight="1">
      <c r="A278" s="941" t="s">
        <v>2126</v>
      </c>
      <c r="B278" s="1484" t="s">
        <v>1282</v>
      </c>
      <c r="C278" s="1479" t="s">
        <v>155</v>
      </c>
      <c r="D278" s="1471" t="s">
        <v>30</v>
      </c>
    </row>
    <row r="279" spans="1:4" ht="14.25" customHeight="1">
      <c r="A279" s="941" t="s">
        <v>2126</v>
      </c>
      <c r="B279" s="1484" t="s">
        <v>1285</v>
      </c>
      <c r="C279" s="1479" t="s">
        <v>155</v>
      </c>
      <c r="D279" s="1471" t="s">
        <v>30</v>
      </c>
    </row>
    <row r="280" spans="1:4" ht="14.25" customHeight="1">
      <c r="A280" s="941" t="s">
        <v>2126</v>
      </c>
      <c r="B280" s="1484" t="s">
        <v>1287</v>
      </c>
      <c r="C280" s="1479" t="s">
        <v>155</v>
      </c>
      <c r="D280" s="1471" t="s">
        <v>30</v>
      </c>
    </row>
    <row r="281" spans="1:4" ht="14.25" customHeight="1">
      <c r="A281" s="945" t="s">
        <v>2127</v>
      </c>
      <c r="B281" s="945" t="s">
        <v>1699</v>
      </c>
      <c r="C281" s="946" t="s">
        <v>918</v>
      </c>
      <c r="D281" s="947" t="s">
        <v>30</v>
      </c>
    </row>
    <row r="282" spans="1:4" ht="14.25" customHeight="1">
      <c r="A282" s="945" t="s">
        <v>2127</v>
      </c>
      <c r="B282" s="945" t="s">
        <v>1705</v>
      </c>
      <c r="C282" s="946" t="s">
        <v>918</v>
      </c>
      <c r="D282" s="947" t="s">
        <v>30</v>
      </c>
    </row>
    <row r="283" spans="1:4" ht="14.25" customHeight="1">
      <c r="A283" s="945" t="s">
        <v>2127</v>
      </c>
      <c r="B283" s="945" t="s">
        <v>1713</v>
      </c>
      <c r="C283" s="946" t="s">
        <v>35</v>
      </c>
      <c r="D283" s="947" t="s">
        <v>30</v>
      </c>
    </row>
    <row r="284" spans="1:4" ht="14.25" customHeight="1">
      <c r="A284" s="945" t="s">
        <v>2127</v>
      </c>
      <c r="B284" s="945" t="s">
        <v>1720</v>
      </c>
      <c r="C284" s="946" t="s">
        <v>35</v>
      </c>
      <c r="D284" s="947" t="s">
        <v>30</v>
      </c>
    </row>
    <row r="285" spans="1:4" ht="14.25" customHeight="1">
      <c r="A285" s="945" t="s">
        <v>2127</v>
      </c>
      <c r="B285" s="945" t="s">
        <v>1725</v>
      </c>
      <c r="C285" s="946" t="s">
        <v>35</v>
      </c>
      <c r="D285" s="947" t="s">
        <v>30</v>
      </c>
    </row>
    <row r="286" spans="1:4" ht="14.25" customHeight="1">
      <c r="A286" s="945" t="s">
        <v>2127</v>
      </c>
      <c r="B286" s="945" t="s">
        <v>1731</v>
      </c>
      <c r="C286" s="946" t="s">
        <v>35</v>
      </c>
      <c r="D286" s="947" t="s">
        <v>30</v>
      </c>
    </row>
    <row r="287" spans="1:4" ht="14.25" customHeight="1">
      <c r="A287" s="945" t="s">
        <v>2127</v>
      </c>
      <c r="B287" s="945" t="s">
        <v>1739</v>
      </c>
      <c r="C287" s="946" t="s">
        <v>35</v>
      </c>
      <c r="D287" s="947" t="s">
        <v>30</v>
      </c>
    </row>
    <row r="288" spans="1:4" ht="14.25" customHeight="1">
      <c r="A288" s="945" t="s">
        <v>2127</v>
      </c>
      <c r="B288" s="945" t="s">
        <v>1887</v>
      </c>
      <c r="C288" s="946" t="s">
        <v>35</v>
      </c>
      <c r="D288" s="947" t="s">
        <v>30</v>
      </c>
    </row>
    <row r="289" spans="1:4" ht="14.25" customHeight="1">
      <c r="A289" s="945" t="s">
        <v>2127</v>
      </c>
      <c r="B289" s="945" t="s">
        <v>1881</v>
      </c>
      <c r="C289" s="946" t="s">
        <v>35</v>
      </c>
      <c r="D289" s="947" t="s">
        <v>30</v>
      </c>
    </row>
    <row r="290" spans="1:4" ht="14.25" customHeight="1">
      <c r="A290" s="945" t="s">
        <v>2127</v>
      </c>
      <c r="B290" s="945" t="s">
        <v>1747</v>
      </c>
      <c r="C290" s="946" t="s">
        <v>296</v>
      </c>
      <c r="D290" s="947" t="s">
        <v>30</v>
      </c>
    </row>
    <row r="291" spans="1:4" ht="14.25" customHeight="1">
      <c r="A291" s="945" t="s">
        <v>2127</v>
      </c>
      <c r="B291" s="945" t="s">
        <v>1757</v>
      </c>
      <c r="C291" s="946" t="s">
        <v>296</v>
      </c>
      <c r="D291" s="947" t="s">
        <v>30</v>
      </c>
    </row>
    <row r="292" spans="1:4" ht="14.25" customHeight="1">
      <c r="A292" s="945" t="s">
        <v>2127</v>
      </c>
      <c r="B292" s="945" t="s">
        <v>1764</v>
      </c>
      <c r="C292" s="946" t="s">
        <v>1765</v>
      </c>
      <c r="D292" s="947" t="s">
        <v>30</v>
      </c>
    </row>
    <row r="293" spans="1:4" ht="14.25" customHeight="1">
      <c r="A293" s="945" t="s">
        <v>2127</v>
      </c>
      <c r="B293" s="945" t="s">
        <v>1771</v>
      </c>
      <c r="C293" s="946" t="s">
        <v>1765</v>
      </c>
      <c r="D293" s="947" t="s">
        <v>30</v>
      </c>
    </row>
    <row r="294" spans="1:4" ht="14.25" customHeight="1">
      <c r="A294" s="945" t="s">
        <v>2127</v>
      </c>
      <c r="B294" s="945" t="s">
        <v>1778</v>
      </c>
      <c r="C294" s="946" t="s">
        <v>870</v>
      </c>
      <c r="D294" s="947" t="s">
        <v>30</v>
      </c>
    </row>
    <row r="295" spans="1:4" ht="14.25" customHeight="1">
      <c r="A295" s="945" t="s">
        <v>2127</v>
      </c>
      <c r="B295" s="945" t="s">
        <v>2189</v>
      </c>
      <c r="C295" s="946" t="s">
        <v>221</v>
      </c>
      <c r="D295" s="947" t="s">
        <v>30</v>
      </c>
    </row>
    <row r="296" spans="1:4" ht="14.25" customHeight="1">
      <c r="A296" s="945" t="s">
        <v>2127</v>
      </c>
      <c r="B296" s="945" t="s">
        <v>1786</v>
      </c>
      <c r="C296" s="946" t="s">
        <v>221</v>
      </c>
      <c r="D296" s="947" t="s">
        <v>30</v>
      </c>
    </row>
    <row r="297" spans="1:4" ht="14.25" customHeight="1">
      <c r="A297" s="945" t="s">
        <v>2127</v>
      </c>
      <c r="B297" s="945" t="s">
        <v>1794</v>
      </c>
      <c r="C297" s="946" t="s">
        <v>221</v>
      </c>
      <c r="D297" s="947" t="s">
        <v>30</v>
      </c>
    </row>
    <row r="298" spans="1:4" ht="14.25" customHeight="1">
      <c r="A298" s="945" t="s">
        <v>2127</v>
      </c>
      <c r="B298" s="945" t="s">
        <v>1892</v>
      </c>
      <c r="C298" s="946" t="s">
        <v>428</v>
      </c>
      <c r="D298" s="947" t="s">
        <v>30</v>
      </c>
    </row>
    <row r="299" spans="1:4" ht="14.25" customHeight="1">
      <c r="A299" s="945" t="s">
        <v>2127</v>
      </c>
      <c r="B299" s="945" t="s">
        <v>1802</v>
      </c>
      <c r="C299" s="946" t="s">
        <v>1804</v>
      </c>
      <c r="D299" s="947" t="s">
        <v>30</v>
      </c>
    </row>
    <row r="300" spans="1:4" ht="14.25" customHeight="1">
      <c r="A300" s="945" t="s">
        <v>2127</v>
      </c>
      <c r="B300" s="945" t="s">
        <v>2131</v>
      </c>
      <c r="C300" s="946" t="s">
        <v>314</v>
      </c>
      <c r="D300" s="947" t="s">
        <v>30</v>
      </c>
    </row>
    <row r="301" spans="1:4" ht="14.25" customHeight="1">
      <c r="A301" s="945" t="s">
        <v>2127</v>
      </c>
      <c r="B301" s="945" t="s">
        <v>1818</v>
      </c>
      <c r="C301" s="946" t="s">
        <v>180</v>
      </c>
      <c r="D301" s="947" t="s">
        <v>30</v>
      </c>
    </row>
    <row r="302" spans="1:4" ht="14.25" customHeight="1">
      <c r="A302" s="945" t="s">
        <v>2127</v>
      </c>
      <c r="B302" s="945" t="s">
        <v>1824</v>
      </c>
      <c r="C302" s="946" t="s">
        <v>180</v>
      </c>
      <c r="D302" s="947" t="s">
        <v>30</v>
      </c>
    </row>
    <row r="303" spans="1:4" ht="14.25" customHeight="1">
      <c r="A303" s="945" t="s">
        <v>2127</v>
      </c>
      <c r="B303" s="945" t="s">
        <v>1831</v>
      </c>
      <c r="C303" s="946" t="s">
        <v>528</v>
      </c>
      <c r="D303" s="947" t="s">
        <v>30</v>
      </c>
    </row>
    <row r="304" spans="1:4" ht="14.25" customHeight="1">
      <c r="A304" s="945" t="s">
        <v>2127</v>
      </c>
      <c r="B304" s="945" t="s">
        <v>1897</v>
      </c>
      <c r="C304" s="946" t="s">
        <v>199</v>
      </c>
      <c r="D304" s="947" t="s">
        <v>30</v>
      </c>
    </row>
    <row r="305" spans="1:4" ht="14.25" customHeight="1">
      <c r="A305" s="945" t="s">
        <v>2127</v>
      </c>
      <c r="B305" s="945" t="s">
        <v>1856</v>
      </c>
      <c r="C305" s="946" t="s">
        <v>237</v>
      </c>
      <c r="D305" s="947" t="s">
        <v>30</v>
      </c>
    </row>
    <row r="306" spans="1:4" ht="14.25" customHeight="1">
      <c r="A306" s="945" t="s">
        <v>2127</v>
      </c>
      <c r="B306" s="945" t="s">
        <v>2477</v>
      </c>
      <c r="C306" s="946" t="s">
        <v>1531</v>
      </c>
      <c r="D306" s="947" t="s">
        <v>30</v>
      </c>
    </row>
    <row r="307" spans="1:4" ht="14.25" customHeight="1">
      <c r="A307" s="945" t="s">
        <v>2127</v>
      </c>
      <c r="B307" s="945" t="s">
        <v>1864</v>
      </c>
      <c r="C307" s="946" t="s">
        <v>148</v>
      </c>
      <c r="D307" s="947" t="s">
        <v>30</v>
      </c>
    </row>
    <row r="308" spans="1:4" ht="14.25" customHeight="1">
      <c r="A308" s="948" t="s">
        <v>2127</v>
      </c>
      <c r="B308" s="948" t="s">
        <v>1902</v>
      </c>
      <c r="C308" s="949" t="s">
        <v>148</v>
      </c>
      <c r="D308" s="950" t="s">
        <v>30</v>
      </c>
    </row>
    <row r="309" spans="1:4" ht="14.25" customHeight="1">
      <c r="A309" s="951" t="s">
        <v>2127</v>
      </c>
      <c r="B309" s="952" t="s">
        <v>1873</v>
      </c>
      <c r="C309" s="953" t="s">
        <v>155</v>
      </c>
      <c r="D309" s="953" t="s">
        <v>30</v>
      </c>
    </row>
    <row r="310" spans="1:4" ht="14.25" customHeight="1">
      <c r="A310" s="954">
        <f>COUNTIF(D5:D309,"Yes")</f>
        <v>305</v>
      </c>
      <c r="B310" s="955" t="s">
        <v>3062</v>
      </c>
      <c r="C310" s="938"/>
      <c r="D310" s="938"/>
    </row>
    <row r="311" spans="1:4" ht="14.25" customHeight="1">
      <c r="A311" s="938">
        <f>COUNTIFS($A$5:$A$309,"=food waste", $D$5:$D$309, "=Yes")</f>
        <v>13</v>
      </c>
      <c r="B311" s="957" t="s">
        <v>277</v>
      </c>
      <c r="C311" s="938"/>
      <c r="D311" s="938"/>
    </row>
    <row r="312" spans="1:4" ht="14.25" customHeight="1">
      <c r="A312" s="938">
        <f>COUNTIFS($A$5:$A$309,"=landfill", $D$5:$D$309, "=Yes")</f>
        <v>100</v>
      </c>
      <c r="B312" s="957" t="s">
        <v>2125</v>
      </c>
      <c r="C312" s="938"/>
      <c r="D312" s="938"/>
    </row>
    <row r="313" spans="1:4" ht="14.25" customHeight="1">
      <c r="A313" s="938">
        <f>COUNTIFS($A$5:$A$309,"=Livestock, Agriculture", $D$5:$D$309, "=Yes")</f>
        <v>163</v>
      </c>
      <c r="B313" s="957" t="s">
        <v>2010</v>
      </c>
      <c r="C313" s="938"/>
      <c r="D313" s="938"/>
    </row>
    <row r="314" spans="1:4" ht="14.25" customHeight="1">
      <c r="A314" s="938">
        <f>COUNTIFS($A$5:$A$309,"=WRRF", $D$5:$D$309, "=Yes")</f>
        <v>29</v>
      </c>
      <c r="B314" s="957" t="s">
        <v>1154</v>
      </c>
      <c r="C314" s="938"/>
      <c r="D314" s="938"/>
    </row>
    <row r="315" spans="1:4" ht="14.25" customHeight="1">
      <c r="A315" s="938">
        <f>SUM(A311:A314)</f>
        <v>305</v>
      </c>
      <c r="B315" s="957"/>
      <c r="C315" s="938"/>
      <c r="D315" s="938"/>
    </row>
  </sheetData>
  <dataValidations count="1">
    <dataValidation type="list" allowBlank="1" showErrorMessage="1" sqref="C127:C128" xr:uid="{AC4B5433-571B-4BF1-A1C6-E6F817739BD6}">
      <formula1>#REF!</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6"/>
  <sheetViews>
    <sheetView workbookViewId="0">
      <selection activeCell="E13" sqref="E13"/>
    </sheetView>
  </sheetViews>
  <sheetFormatPr defaultColWidth="12.625" defaultRowHeight="15" customHeight="1"/>
  <cols>
    <col min="1" max="1" width="31.875" customWidth="1"/>
    <col min="2" max="2" width="149.125" customWidth="1"/>
    <col min="3" max="26" width="7.625" customWidth="1"/>
  </cols>
  <sheetData>
    <row r="1" spans="1:2" ht="14.25" customHeight="1">
      <c r="A1" s="105" t="s">
        <v>1984</v>
      </c>
      <c r="B1" s="1"/>
    </row>
    <row r="2" spans="1:2" ht="14.25" customHeight="1">
      <c r="A2" s="105" t="s">
        <v>85</v>
      </c>
      <c r="B2" s="131" t="s">
        <v>1985</v>
      </c>
    </row>
    <row r="3" spans="1:2" ht="14.25" customHeight="1">
      <c r="A3" s="105" t="s">
        <v>583</v>
      </c>
      <c r="B3" s="131" t="s">
        <v>1986</v>
      </c>
    </row>
    <row r="4" spans="1:2" ht="14.25" customHeight="1">
      <c r="A4" s="105" t="s">
        <v>53</v>
      </c>
      <c r="B4" s="131" t="s">
        <v>1987</v>
      </c>
    </row>
    <row r="5" spans="1:2" ht="14.25" customHeight="1">
      <c r="A5" s="105" t="s">
        <v>2276</v>
      </c>
      <c r="B5" s="131" t="s">
        <v>2278</v>
      </c>
    </row>
    <row r="6" spans="1:2" ht="14.25" customHeight="1">
      <c r="A6" s="105" t="s">
        <v>2277</v>
      </c>
      <c r="B6" s="131" t="s">
        <v>2275</v>
      </c>
    </row>
    <row r="7" spans="1:2" ht="14.25" customHeight="1">
      <c r="A7" s="105" t="s">
        <v>168</v>
      </c>
      <c r="B7" s="131" t="s">
        <v>1988</v>
      </c>
    </row>
    <row r="8" spans="1:2" ht="14.25" customHeight="1">
      <c r="A8" s="105" t="s">
        <v>217</v>
      </c>
      <c r="B8" s="131" t="s">
        <v>1989</v>
      </c>
    </row>
    <row r="9" spans="1:2" ht="14.25" customHeight="1">
      <c r="A9" s="1"/>
      <c r="B9" s="1"/>
    </row>
    <row r="10" spans="1:2" ht="14.25" customHeight="1">
      <c r="A10" s="105" t="s">
        <v>1990</v>
      </c>
      <c r="B10" s="1"/>
    </row>
    <row r="11" spans="1:2" ht="14.25" customHeight="1">
      <c r="A11" s="105" t="s">
        <v>33</v>
      </c>
      <c r="B11" s="4" t="s">
        <v>1991</v>
      </c>
    </row>
    <row r="12" spans="1:2" ht="14.25" customHeight="1">
      <c r="A12" s="105" t="s">
        <v>145</v>
      </c>
      <c r="B12" s="4" t="s">
        <v>1992</v>
      </c>
    </row>
    <row r="13" spans="1:2" ht="14.25" customHeight="1">
      <c r="A13" s="105" t="s">
        <v>159</v>
      </c>
      <c r="B13" s="1" t="s">
        <v>1993</v>
      </c>
    </row>
    <row r="14" spans="1:2" ht="14.25" customHeight="1">
      <c r="A14" s="105" t="s">
        <v>251</v>
      </c>
      <c r="B14" s="131" t="s">
        <v>1994</v>
      </c>
    </row>
    <row r="15" spans="1:2" ht="14.25" customHeight="1">
      <c r="A15" s="105" t="s">
        <v>303</v>
      </c>
      <c r="B15" s="131" t="s">
        <v>1995</v>
      </c>
    </row>
    <row r="16" spans="1:2" ht="14.25" customHeight="1">
      <c r="A16" s="105" t="s">
        <v>261</v>
      </c>
      <c r="B16" s="1" t="s">
        <v>1996</v>
      </c>
    </row>
    <row r="17" spans="1:2" ht="14.25" customHeight="1">
      <c r="A17" s="105" t="s">
        <v>270</v>
      </c>
      <c r="B17" s="1" t="s">
        <v>1997</v>
      </c>
    </row>
    <row r="18" spans="1:2" ht="14.25" customHeight="1">
      <c r="A18" s="105" t="s">
        <v>1941</v>
      </c>
      <c r="B18" s="131" t="s">
        <v>1998</v>
      </c>
    </row>
    <row r="19" spans="1:2" ht="14.25" customHeight="1">
      <c r="A19" s="105" t="s">
        <v>208</v>
      </c>
      <c r="B19" s="131" t="s">
        <v>1999</v>
      </c>
    </row>
    <row r="20" spans="1:2" ht="14.25" customHeight="1">
      <c r="A20" s="105" t="s">
        <v>1446</v>
      </c>
      <c r="B20" s="131" t="s">
        <v>2000</v>
      </c>
    </row>
    <row r="21" spans="1:2" ht="14.25" customHeight="1">
      <c r="A21" s="1"/>
      <c r="B21" s="1"/>
    </row>
    <row r="22" spans="1:2" ht="14.25" customHeight="1">
      <c r="A22" s="105" t="s">
        <v>2001</v>
      </c>
      <c r="B22" s="132" t="s">
        <v>2002</v>
      </c>
    </row>
    <row r="23" spans="1:2" ht="14.25" customHeight="1">
      <c r="A23" s="105" t="s">
        <v>0</v>
      </c>
      <c r="B23" s="131" t="s">
        <v>2003</v>
      </c>
    </row>
    <row r="24" spans="1:2" ht="14.25" customHeight="1">
      <c r="A24" s="105" t="s">
        <v>44</v>
      </c>
      <c r="B24" s="131" t="s">
        <v>2004</v>
      </c>
    </row>
    <row r="25" spans="1:2" ht="14.25" customHeight="1">
      <c r="A25" s="105" t="s">
        <v>108</v>
      </c>
      <c r="B25" s="131" t="s">
        <v>2005</v>
      </c>
    </row>
    <row r="26" spans="1:2" ht="14.25" customHeight="1">
      <c r="A26" s="105" t="s">
        <v>157</v>
      </c>
      <c r="B26" s="131" t="s">
        <v>2006</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69"/>
  <sheetViews>
    <sheetView topLeftCell="A29" workbookViewId="0">
      <selection activeCell="B64" sqref="B64"/>
    </sheetView>
  </sheetViews>
  <sheetFormatPr defaultColWidth="12.625" defaultRowHeight="15" customHeight="1"/>
  <cols>
    <col min="1" max="1" width="46" customWidth="1"/>
    <col min="2" max="2" width="95" customWidth="1"/>
    <col min="3" max="3" width="39.5" customWidth="1"/>
    <col min="4" max="4" width="13.625" customWidth="1"/>
    <col min="5" max="26" width="7.625" customWidth="1"/>
  </cols>
  <sheetData>
    <row r="1" spans="1:2" ht="14.25" customHeight="1">
      <c r="A1" s="105" t="s">
        <v>2013</v>
      </c>
      <c r="B1" s="1"/>
    </row>
    <row r="2" spans="1:2" ht="14.25" customHeight="1">
      <c r="A2" s="1"/>
      <c r="B2" s="1"/>
    </row>
    <row r="3" spans="1:2" ht="14.25" customHeight="1">
      <c r="A3" s="131" t="s">
        <v>2014</v>
      </c>
      <c r="B3" s="131" t="s">
        <v>2015</v>
      </c>
    </row>
    <row r="4" spans="1:2" ht="14.25" customHeight="1">
      <c r="A4" s="131" t="s">
        <v>2016</v>
      </c>
      <c r="B4" s="131" t="s">
        <v>2017</v>
      </c>
    </row>
    <row r="5" spans="1:2" ht="14.25" customHeight="1">
      <c r="A5" s="131" t="s">
        <v>2018</v>
      </c>
      <c r="B5" s="131" t="s">
        <v>2019</v>
      </c>
    </row>
    <row r="6" spans="1:2" ht="14.25" customHeight="1">
      <c r="A6" s="131" t="s">
        <v>2020</v>
      </c>
      <c r="B6" s="131" t="s">
        <v>2021</v>
      </c>
    </row>
    <row r="7" spans="1:2" ht="14.25" customHeight="1">
      <c r="A7" s="131" t="s">
        <v>2022</v>
      </c>
      <c r="B7" s="131" t="s">
        <v>2023</v>
      </c>
    </row>
    <row r="8" spans="1:2" ht="14.25" customHeight="1">
      <c r="A8" s="131" t="s">
        <v>2024</v>
      </c>
      <c r="B8" s="131" t="s">
        <v>2025</v>
      </c>
    </row>
    <row r="9" spans="1:2" ht="14.25" customHeight="1">
      <c r="A9" s="131" t="s">
        <v>2026</v>
      </c>
      <c r="B9" s="131" t="s">
        <v>2027</v>
      </c>
    </row>
    <row r="10" spans="1:2" ht="14.25" customHeight="1">
      <c r="A10" s="131" t="s">
        <v>2028</v>
      </c>
      <c r="B10" s="131" t="s">
        <v>2029</v>
      </c>
    </row>
    <row r="11" spans="1:2" ht="14.25" customHeight="1">
      <c r="A11" s="131" t="s">
        <v>2030</v>
      </c>
      <c r="B11" s="131" t="s">
        <v>2031</v>
      </c>
    </row>
    <row r="12" spans="1:2" ht="14.25" customHeight="1">
      <c r="A12" s="131" t="s">
        <v>2032</v>
      </c>
      <c r="B12" s="131" t="s">
        <v>2033</v>
      </c>
    </row>
    <row r="13" spans="1:2" ht="14.25" customHeight="1">
      <c r="A13" s="131" t="s">
        <v>2034</v>
      </c>
      <c r="B13" s="131" t="s">
        <v>2035</v>
      </c>
    </row>
    <row r="14" spans="1:2" ht="14.25" customHeight="1">
      <c r="A14" s="131" t="s">
        <v>2036</v>
      </c>
      <c r="B14" s="131" t="s">
        <v>2037</v>
      </c>
    </row>
    <row r="15" spans="1:2" ht="14.25" customHeight="1">
      <c r="A15" s="131" t="s">
        <v>2038</v>
      </c>
      <c r="B15" s="131" t="s">
        <v>2039</v>
      </c>
    </row>
    <row r="16" spans="1:2" ht="14.25" customHeight="1">
      <c r="A16" s="131" t="s">
        <v>2040</v>
      </c>
      <c r="B16" s="131" t="s">
        <v>2041</v>
      </c>
    </row>
    <row r="17" spans="1:2" ht="14.25" customHeight="1">
      <c r="A17" s="131" t="s">
        <v>2042</v>
      </c>
      <c r="B17" s="131" t="s">
        <v>2043</v>
      </c>
    </row>
    <row r="18" spans="1:2" ht="14.25" customHeight="1">
      <c r="A18" s="131" t="s">
        <v>2044</v>
      </c>
      <c r="B18" s="131" t="s">
        <v>2045</v>
      </c>
    </row>
    <row r="19" spans="1:2" ht="14.25" customHeight="1">
      <c r="A19" s="131" t="s">
        <v>2046</v>
      </c>
      <c r="B19" s="131" t="s">
        <v>2047</v>
      </c>
    </row>
    <row r="20" spans="1:2" ht="14.25" customHeight="1">
      <c r="A20" s="131" t="s">
        <v>2048</v>
      </c>
      <c r="B20" s="131" t="s">
        <v>2049</v>
      </c>
    </row>
    <row r="21" spans="1:2" ht="14.25" customHeight="1">
      <c r="A21" s="131" t="s">
        <v>2050</v>
      </c>
      <c r="B21" s="131" t="s">
        <v>2051</v>
      </c>
    </row>
    <row r="22" spans="1:2" ht="14.25" customHeight="1">
      <c r="A22" s="131" t="s">
        <v>2052</v>
      </c>
      <c r="B22" s="131" t="s">
        <v>2053</v>
      </c>
    </row>
    <row r="23" spans="1:2" ht="14.25" customHeight="1">
      <c r="A23" s="131" t="s">
        <v>2054</v>
      </c>
      <c r="B23" s="131" t="s">
        <v>2055</v>
      </c>
    </row>
    <row r="24" spans="1:2" ht="14.25" customHeight="1">
      <c r="A24" s="131" t="s">
        <v>2056</v>
      </c>
      <c r="B24" s="131" t="s">
        <v>2057</v>
      </c>
    </row>
    <row r="25" spans="1:2" ht="14.25" customHeight="1">
      <c r="A25" s="131" t="s">
        <v>2058</v>
      </c>
      <c r="B25" s="131" t="s">
        <v>2059</v>
      </c>
    </row>
    <row r="26" spans="1:2" ht="14.25" customHeight="1">
      <c r="A26" s="131" t="s">
        <v>2060</v>
      </c>
      <c r="B26" s="131" t="s">
        <v>2061</v>
      </c>
    </row>
    <row r="27" spans="1:2" ht="14.25" customHeight="1">
      <c r="A27" s="131" t="s">
        <v>2062</v>
      </c>
      <c r="B27" s="131" t="s">
        <v>2063</v>
      </c>
    </row>
    <row r="28" spans="1:2" ht="14.25" customHeight="1">
      <c r="A28" s="131" t="s">
        <v>2064</v>
      </c>
      <c r="B28" s="131" t="s">
        <v>2065</v>
      </c>
    </row>
    <row r="29" spans="1:2" ht="14.25" customHeight="1">
      <c r="A29" s="131"/>
      <c r="B29" s="1"/>
    </row>
    <row r="30" spans="1:2" ht="14.25" customHeight="1">
      <c r="A30" s="171" t="s">
        <v>2066</v>
      </c>
      <c r="B30" s="172"/>
    </row>
    <row r="31" spans="1:2" ht="14.25" customHeight="1">
      <c r="A31" s="131" t="s">
        <v>2067</v>
      </c>
      <c r="B31" s="173" t="s">
        <v>2068</v>
      </c>
    </row>
    <row r="32" spans="1:2" ht="14.25" customHeight="1">
      <c r="A32" s="131" t="s">
        <v>2069</v>
      </c>
      <c r="B32" s="174" t="s">
        <v>2070</v>
      </c>
    </row>
    <row r="33" spans="1:2" ht="14.25" customHeight="1">
      <c r="A33" s="131" t="s">
        <v>2071</v>
      </c>
      <c r="B33" s="174" t="s">
        <v>2072</v>
      </c>
    </row>
    <row r="34" spans="1:2" ht="14.25" customHeight="1">
      <c r="A34" s="131" t="s">
        <v>2073</v>
      </c>
      <c r="B34" s="174" t="s">
        <v>2074</v>
      </c>
    </row>
    <row r="35" spans="1:2" ht="14.25" customHeight="1">
      <c r="A35" s="131" t="s">
        <v>2075</v>
      </c>
      <c r="B35" s="174" t="s">
        <v>2076</v>
      </c>
    </row>
    <row r="36" spans="1:2" ht="14.25" customHeight="1">
      <c r="A36" s="131" t="s">
        <v>2077</v>
      </c>
      <c r="B36" s="174" t="s">
        <v>2078</v>
      </c>
    </row>
    <row r="37" spans="1:2" ht="14.25" customHeight="1">
      <c r="A37" s="131" t="s">
        <v>2079</v>
      </c>
      <c r="B37" s="175" t="s">
        <v>2080</v>
      </c>
    </row>
    <row r="38" spans="1:2" ht="14.25" customHeight="1">
      <c r="A38" s="175" t="s">
        <v>2081</v>
      </c>
      <c r="B38" s="175" t="s">
        <v>2082</v>
      </c>
    </row>
    <row r="39" spans="1:2" ht="14.25" customHeight="1">
      <c r="A39" s="175" t="s">
        <v>2083</v>
      </c>
      <c r="B39" s="175" t="s">
        <v>2084</v>
      </c>
    </row>
    <row r="40" spans="1:2" ht="14.25" customHeight="1">
      <c r="A40" s="175"/>
      <c r="B40" s="175"/>
    </row>
    <row r="41" spans="1:2" ht="14.25" customHeight="1">
      <c r="A41" s="176" t="s">
        <v>2085</v>
      </c>
      <c r="B41" s="177"/>
    </row>
    <row r="42" spans="1:2" ht="14.25" customHeight="1">
      <c r="A42" s="179" t="s">
        <v>2086</v>
      </c>
      <c r="B42" s="177" t="s">
        <v>2087</v>
      </c>
    </row>
    <row r="43" spans="1:2" ht="14.25" customHeight="1">
      <c r="A43" s="179" t="s">
        <v>2088</v>
      </c>
      <c r="B43" s="177" t="s">
        <v>2089</v>
      </c>
    </row>
    <row r="44" spans="1:2" ht="14.25" customHeight="1">
      <c r="A44" s="179"/>
      <c r="B44" s="177"/>
    </row>
    <row r="45" spans="1:2" ht="14.25" customHeight="1">
      <c r="A45" s="176" t="s">
        <v>2090</v>
      </c>
      <c r="B45" s="177" t="s">
        <v>2091</v>
      </c>
    </row>
    <row r="46" spans="1:2" ht="14.25" customHeight="1">
      <c r="A46" s="176" t="s">
        <v>2092</v>
      </c>
      <c r="B46" s="177" t="s">
        <v>2093</v>
      </c>
    </row>
    <row r="47" spans="1:2" ht="14.25" customHeight="1">
      <c r="A47" s="176"/>
      <c r="B47" s="178"/>
    </row>
    <row r="48" spans="1:2" ht="14.25" customHeight="1">
      <c r="A48" s="176" t="s">
        <v>2094</v>
      </c>
      <c r="B48" s="177" t="s">
        <v>2095</v>
      </c>
    </row>
    <row r="49" spans="1:3" ht="14.25" customHeight="1">
      <c r="A49" s="176" t="s">
        <v>2096</v>
      </c>
      <c r="B49" s="177" t="s">
        <v>2097</v>
      </c>
      <c r="C49" s="178"/>
    </row>
    <row r="50" spans="1:3" ht="14.25" customHeight="1">
      <c r="A50" s="2"/>
      <c r="B50" s="178"/>
      <c r="C50" s="178"/>
    </row>
    <row r="51" spans="1:3" ht="14.25" customHeight="1">
      <c r="A51" s="176" t="s">
        <v>2098</v>
      </c>
      <c r="B51" s="177" t="s">
        <v>2610</v>
      </c>
      <c r="C51" s="177" t="s">
        <v>2099</v>
      </c>
    </row>
    <row r="52" spans="1:3" ht="14.25" customHeight="1">
      <c r="A52" s="176" t="s">
        <v>2100</v>
      </c>
      <c r="B52" s="177" t="s">
        <v>2611</v>
      </c>
      <c r="C52" s="177" t="s">
        <v>2099</v>
      </c>
    </row>
    <row r="53" spans="1:3" ht="14.25" customHeight="1">
      <c r="A53" s="176"/>
      <c r="B53" s="177"/>
      <c r="C53" s="177"/>
    </row>
    <row r="54" spans="1:3" ht="14.25" customHeight="1">
      <c r="A54" s="176" t="s">
        <v>2101</v>
      </c>
      <c r="B54" s="177" t="s">
        <v>2102</v>
      </c>
      <c r="C54" s="177"/>
    </row>
    <row r="55" spans="1:3" ht="14.25" customHeight="1">
      <c r="A55" s="176" t="s">
        <v>2384</v>
      </c>
      <c r="B55" s="177" t="s">
        <v>2385</v>
      </c>
      <c r="C55" s="177"/>
    </row>
    <row r="56" spans="1:3" ht="14.25" customHeight="1">
      <c r="A56" s="171"/>
      <c r="B56" s="175"/>
      <c r="C56" s="175"/>
    </row>
    <row r="57" spans="1:3" ht="14.25" customHeight="1">
      <c r="A57" s="171" t="s">
        <v>2103</v>
      </c>
      <c r="B57" s="180">
        <v>11.727</v>
      </c>
      <c r="C57" s="175"/>
    </row>
    <row r="58" spans="1:3" ht="14.25" customHeight="1">
      <c r="A58" s="171" t="s">
        <v>2104</v>
      </c>
      <c r="B58" s="181">
        <f>1000000/B57</f>
        <v>85273.300929478981</v>
      </c>
      <c r="C58" s="175"/>
    </row>
    <row r="59" spans="1:3" ht="14.25" customHeight="1">
      <c r="A59" s="171"/>
      <c r="B59" s="175"/>
      <c r="C59" s="172"/>
    </row>
    <row r="60" spans="1:3" ht="14.25" customHeight="1">
      <c r="A60" s="171" t="s">
        <v>2105</v>
      </c>
      <c r="B60" s="175" t="s">
        <v>2106</v>
      </c>
      <c r="C60" s="172"/>
    </row>
    <row r="61" spans="1:3" ht="14.25" customHeight="1">
      <c r="A61" s="171" t="s">
        <v>2107</v>
      </c>
      <c r="B61" s="175" t="s">
        <v>2108</v>
      </c>
      <c r="C61" s="172"/>
    </row>
    <row r="62" spans="1:3" ht="14.25" customHeight="1">
      <c r="A62" s="171" t="s">
        <v>2109</v>
      </c>
      <c r="B62" s="175" t="s">
        <v>2110</v>
      </c>
      <c r="C62" s="172"/>
    </row>
    <row r="63" spans="1:3" ht="14.25" customHeight="1">
      <c r="A63" s="1"/>
      <c r="B63" s="172"/>
      <c r="C63" s="172"/>
    </row>
    <row r="64" spans="1:3" ht="14.25" customHeight="1">
      <c r="A64" s="171" t="s">
        <v>2111</v>
      </c>
      <c r="B64" s="172"/>
      <c r="C64" s="172"/>
    </row>
    <row r="65" spans="1:2" ht="14.25" customHeight="1">
      <c r="A65" s="171" t="s">
        <v>2112</v>
      </c>
      <c r="B65" s="175" t="s">
        <v>2113</v>
      </c>
    </row>
    <row r="66" spans="1:2" ht="14.25" customHeight="1">
      <c r="A66" s="171" t="s">
        <v>2114</v>
      </c>
      <c r="B66" s="182" t="s">
        <v>2115</v>
      </c>
    </row>
    <row r="67" spans="1:2" ht="14.25" customHeight="1">
      <c r="A67" s="171" t="s">
        <v>2116</v>
      </c>
      <c r="B67" s="182" t="s">
        <v>2117</v>
      </c>
    </row>
    <row r="68" spans="1:2" ht="14.25" customHeight="1">
      <c r="A68" s="171" t="s">
        <v>2118</v>
      </c>
      <c r="B68" s="175" t="s">
        <v>2119</v>
      </c>
    </row>
    <row r="69" spans="1:2" ht="14.25" customHeight="1">
      <c r="A69" s="171" t="s">
        <v>2120</v>
      </c>
      <c r="B69" s="175" t="s">
        <v>2121</v>
      </c>
    </row>
  </sheetData>
  <hyperlinks>
    <hyperlink ref="B66" r:id="rId1" xr:uid="{00000000-0004-0000-0D00-000000000000}"/>
    <hyperlink ref="B67" r:id="rId2" xr:uid="{00000000-0004-0000-0D00-000001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Food Waste</vt:lpstr>
      <vt:lpstr>Landfills</vt:lpstr>
      <vt:lpstr>Livestock, agriculture</vt:lpstr>
      <vt:lpstr>WRRFs</vt:lpstr>
      <vt:lpstr>TOTALS</vt:lpstr>
      <vt:lpstr>OPERATIONAL PROJECTS LIST</vt:lpstr>
      <vt:lpstr>List Values</vt:lpstr>
      <vt:lpstr>Reference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vos@energy-vision.org</dc:creator>
  <cp:keywords/>
  <dc:description/>
  <cp:lastModifiedBy>Mintz, Marianne M.</cp:lastModifiedBy>
  <cp:revision/>
  <cp:lastPrinted>2024-07-17T22:08:53Z</cp:lastPrinted>
  <dcterms:created xsi:type="dcterms:W3CDTF">2018-12-14T14:47:28Z</dcterms:created>
  <dcterms:modified xsi:type="dcterms:W3CDTF">2024-10-30T21:38:27Z</dcterms:modified>
  <cp:category/>
  <cp:contentStatus/>
</cp:coreProperties>
</file>